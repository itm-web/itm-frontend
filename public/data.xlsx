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liam Collard\Desktop\"/>
    </mc:Choice>
  </mc:AlternateContent>
  <xr:revisionPtr revIDLastSave="0" documentId="13_ncr:1_{BB41C007-B073-4295-B9C8-A2737BDB0ACD}" xr6:coauthVersionLast="47" xr6:coauthVersionMax="47" xr10:uidLastSave="{00000000-0000-0000-0000-000000000000}"/>
  <bookViews>
    <workbookView xWindow="-120" yWindow="-120" windowWidth="29040" windowHeight="15720" tabRatio="661" xr2:uid="{00000000-000D-0000-FFFF-FFFF00000000}"/>
  </bookViews>
  <sheets>
    <sheet name="Investor dashboard" sheetId="1" r:id="rId1"/>
    <sheet name="Fund Management" sheetId="2" r:id="rId2"/>
    <sheet name="Client Management" sheetId="3" r:id="rId3"/>
    <sheet name="Transactions" sheetId="4" r:id="rId4"/>
    <sheet name="NAV Calculation" sheetId="7" state="hidden" r:id="rId5"/>
    <sheet name="Unrealized PnL" sheetId="5" state="hidden" r:id="rId6"/>
    <sheet name="lkp table" sheetId="6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7" l="1"/>
  <c r="E2" i="7"/>
  <c r="D2" i="7"/>
  <c r="C2" i="7"/>
  <c r="B2" i="7"/>
  <c r="I4" i="1"/>
  <c r="O3" i="2"/>
  <c r="O2" i="2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a="1"/>
  <c r="E4" i="1" s="1"/>
  <c r="E3" i="1" a="1"/>
  <c r="E3" i="1" s="1"/>
  <c r="E2" i="1" a="1"/>
  <c r="E2" i="1" s="1"/>
  <c r="B2" i="1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D64" i="3"/>
  <c r="AB34" i="3"/>
  <c r="AA34" i="3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D67" i="3"/>
  <c r="D92" i="3"/>
  <c r="D91" i="3"/>
  <c r="D90" i="3"/>
  <c r="C2" i="1" s="1" a="1"/>
  <c r="C2" i="1" s="1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B2" i="2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J3" i="2" s="1"/>
  <c r="F2" i="2"/>
  <c r="I6" i="1" a="1"/>
  <c r="D2" i="1" l="1"/>
  <c r="D94" i="3"/>
  <c r="D22" i="3" s="1"/>
  <c r="C64" i="3"/>
  <c r="G20" i="2"/>
  <c r="G19" i="2"/>
  <c r="G16" i="2"/>
  <c r="G15" i="2"/>
  <c r="G18" i="2"/>
  <c r="G17" i="2"/>
  <c r="J2" i="2"/>
  <c r="G24" i="2"/>
  <c r="G23" i="2"/>
  <c r="G14" i="2"/>
  <c r="G13" i="2"/>
  <c r="G12" i="2"/>
  <c r="G11" i="2"/>
  <c r="G10" i="2"/>
  <c r="I5" i="1" a="1"/>
  <c r="G22" i="2"/>
  <c r="G2" i="2"/>
  <c r="G3" i="2"/>
  <c r="G4" i="2"/>
  <c r="G5" i="2"/>
  <c r="G6" i="2"/>
  <c r="G7" i="2"/>
  <c r="G8" i="2"/>
  <c r="G9" i="2"/>
  <c r="G21" i="2"/>
  <c r="D26" i="3" l="1"/>
  <c r="D27" i="3"/>
  <c r="D6" i="3"/>
  <c r="D23" i="3"/>
  <c r="D14" i="3"/>
  <c r="D30" i="3"/>
  <c r="D28" i="3"/>
  <c r="D21" i="3"/>
  <c r="D19" i="3"/>
  <c r="D20" i="3"/>
  <c r="D24" i="3"/>
  <c r="D31" i="3"/>
  <c r="D25" i="3"/>
  <c r="D29" i="3"/>
  <c r="D17" i="3"/>
  <c r="D15" i="3"/>
  <c r="D8" i="3"/>
  <c r="D13" i="3"/>
  <c r="D18" i="3"/>
  <c r="D10" i="3"/>
  <c r="D11" i="3"/>
  <c r="D9" i="3"/>
  <c r="D16" i="3"/>
  <c r="D7" i="3"/>
  <c r="D12" i="3"/>
  <c r="C2" i="2"/>
  <c r="H2" i="2"/>
  <c r="B3" i="2" s="1"/>
  <c r="H3" i="2" s="1"/>
  <c r="B4" i="2" s="1"/>
  <c r="I2" i="2"/>
  <c r="K2" i="2" s="1"/>
  <c r="D33" i="3" l="1"/>
  <c r="D34" i="3" s="1"/>
  <c r="H4" i="2"/>
  <c r="I4" i="2" s="1"/>
  <c r="K4" i="2" s="1"/>
  <c r="C3" i="2"/>
  <c r="S2" i="2"/>
  <c r="L2" i="2"/>
  <c r="N2" i="2" s="1"/>
  <c r="T2" i="2"/>
  <c r="I3" i="2" l="1"/>
  <c r="K3" i="2" s="1"/>
  <c r="L3" i="2" s="1"/>
  <c r="N3" i="2" s="1"/>
  <c r="S3" i="2"/>
  <c r="S4" i="2" l="1"/>
  <c r="B5" i="2"/>
  <c r="C4" i="2"/>
  <c r="O4" i="2" s="1"/>
  <c r="C5" i="2" s="1"/>
  <c r="O5" i="2" s="1"/>
  <c r="H5" i="2" l="1"/>
  <c r="I5" i="2"/>
  <c r="K5" i="2" s="1"/>
  <c r="L5" i="2" s="1"/>
  <c r="N5" i="2" s="1"/>
  <c r="B6" i="2"/>
  <c r="T4" i="2"/>
  <c r="L4" i="2"/>
  <c r="N4" i="2" s="1"/>
  <c r="T3" i="2"/>
  <c r="S5" i="2"/>
  <c r="C6" i="2" l="1"/>
  <c r="O6" i="2" s="1"/>
  <c r="H6" i="2"/>
  <c r="I6" i="2"/>
  <c r="K6" i="2" s="1"/>
  <c r="T5" i="2"/>
  <c r="B7" i="2"/>
  <c r="H7" i="2" l="1"/>
  <c r="I7" i="2"/>
  <c r="K7" i="2" s="1"/>
  <c r="S6" i="2"/>
  <c r="C7" i="2"/>
  <c r="O7" i="2" s="1"/>
  <c r="T6" i="2" l="1"/>
  <c r="B8" i="2"/>
  <c r="L6" i="2"/>
  <c r="N6" i="2" s="1"/>
  <c r="H8" i="2" l="1"/>
  <c r="I8" i="2"/>
  <c r="K8" i="2" s="1"/>
  <c r="S7" i="2"/>
  <c r="B9" i="2" l="1"/>
  <c r="H9" i="2" l="1"/>
  <c r="I9" i="2"/>
  <c r="K9" i="2" s="1"/>
  <c r="L7" i="2"/>
  <c r="N7" i="2" s="1"/>
  <c r="C8" i="2"/>
  <c r="O8" i="2" s="1"/>
  <c r="S8" i="2"/>
  <c r="L8" i="2"/>
  <c r="N8" i="2" s="1"/>
  <c r="C9" i="2" l="1"/>
  <c r="O9" i="2" s="1"/>
  <c r="T7" i="2"/>
  <c r="L9" i="2" l="1"/>
  <c r="N9" i="2" s="1"/>
  <c r="B10" i="2"/>
  <c r="T8" i="2"/>
  <c r="C10" i="2"/>
  <c r="O10" i="2" s="1"/>
  <c r="S9" i="2"/>
  <c r="H10" i="2" l="1"/>
  <c r="I10" i="2"/>
  <c r="K10" i="2" s="1"/>
  <c r="T9" i="2"/>
  <c r="B11" i="2" l="1"/>
  <c r="L10" i="2"/>
  <c r="N10" i="2" s="1"/>
  <c r="S10" i="2"/>
  <c r="H11" i="2" l="1"/>
  <c r="I11" i="2"/>
  <c r="K11" i="2" s="1"/>
  <c r="C11" i="2"/>
  <c r="O11" i="2" s="1"/>
  <c r="B12" i="2"/>
  <c r="H12" i="2" l="1"/>
  <c r="I12" i="2"/>
  <c r="K12" i="2" s="1"/>
  <c r="T10" i="2"/>
  <c r="S11" i="2"/>
  <c r="L12" i="2" l="1"/>
  <c r="N12" i="2" s="1"/>
  <c r="B13" i="2"/>
  <c r="L11" i="2"/>
  <c r="N11" i="2" s="1"/>
  <c r="C12" i="2"/>
  <c r="O12" i="2" s="1"/>
  <c r="C13" i="2" s="1"/>
  <c r="O13" i="2" s="1"/>
  <c r="S12" i="2"/>
  <c r="H13" i="2" l="1"/>
  <c r="I13" i="2"/>
  <c r="K13" i="2" s="1"/>
  <c r="T12" i="2"/>
  <c r="B14" i="2"/>
  <c r="T11" i="2"/>
  <c r="H14" i="2" l="1"/>
  <c r="I14" i="2"/>
  <c r="K14" i="2" s="1"/>
  <c r="S13" i="2"/>
  <c r="B15" i="2" l="1"/>
  <c r="H15" i="2" l="1"/>
  <c r="I15" i="2"/>
  <c r="K15" i="2" s="1"/>
  <c r="L13" i="2"/>
  <c r="N13" i="2" s="1"/>
  <c r="C14" i="2"/>
  <c r="O14" i="2" s="1"/>
  <c r="S14" i="2"/>
  <c r="L14" i="2"/>
  <c r="N14" i="2" s="1"/>
  <c r="C15" i="2" l="1"/>
  <c r="O15" i="2" s="1"/>
  <c r="B16" i="2"/>
  <c r="L15" i="2"/>
  <c r="N15" i="2" s="1"/>
  <c r="T13" i="2"/>
  <c r="H16" i="2" l="1"/>
  <c r="I16" i="2" s="1"/>
  <c r="K16" i="2" s="1"/>
  <c r="T14" i="2"/>
  <c r="S15" i="2"/>
  <c r="C16" i="2"/>
  <c r="O16" i="2" s="1"/>
  <c r="T15" i="2" l="1"/>
  <c r="B17" i="2" l="1"/>
  <c r="L16" i="2"/>
  <c r="N16" i="2" s="1"/>
  <c r="S16" i="2"/>
  <c r="H17" i="2" l="1"/>
  <c r="I17" i="2" s="1"/>
  <c r="K17" i="2" s="1"/>
  <c r="L17" i="2" s="1"/>
  <c r="N17" i="2" s="1"/>
  <c r="C17" i="2"/>
  <c r="O17" i="2" s="1"/>
  <c r="B18" i="2" l="1"/>
  <c r="H18" i="2" s="1"/>
  <c r="T16" i="2"/>
  <c r="C18" i="2"/>
  <c r="O18" i="2" s="1"/>
  <c r="S17" i="2"/>
  <c r="I18" i="2" l="1"/>
  <c r="K18" i="2" s="1"/>
  <c r="T17" i="2"/>
  <c r="B19" i="2" l="1"/>
  <c r="S18" i="2"/>
  <c r="L18" i="2"/>
  <c r="N18" i="2" s="1"/>
  <c r="H19" i="2" l="1"/>
  <c r="I19" i="2" s="1"/>
  <c r="K19" i="2" s="1"/>
  <c r="L19" i="2" s="1"/>
  <c r="N19" i="2" s="1"/>
  <c r="C19" i="2"/>
  <c r="O19" i="2" s="1"/>
  <c r="B20" i="2"/>
  <c r="H20" i="2" l="1"/>
  <c r="I20" i="2"/>
  <c r="K20" i="2" s="1"/>
  <c r="C20" i="2"/>
  <c r="O20" i="2" s="1"/>
  <c r="S19" i="2"/>
  <c r="T18" i="2"/>
  <c r="T19" i="2" l="1"/>
  <c r="B21" i="2"/>
  <c r="H21" i="2" l="1"/>
  <c r="I21" i="2"/>
  <c r="K21" i="2" s="1"/>
  <c r="S20" i="2"/>
  <c r="L21" i="2" l="1"/>
  <c r="N21" i="2" s="1"/>
  <c r="B22" i="2"/>
  <c r="L20" i="2"/>
  <c r="N20" i="2" s="1"/>
  <c r="C21" i="2"/>
  <c r="O21" i="2" s="1"/>
  <c r="C22" i="2" s="1"/>
  <c r="O22" i="2" s="1"/>
  <c r="S21" i="2"/>
  <c r="H22" i="2" l="1"/>
  <c r="I22" i="2"/>
  <c r="K22" i="2" s="1"/>
  <c r="L22" i="2"/>
  <c r="N22" i="2" s="1"/>
  <c r="B23" i="2"/>
  <c r="T21" i="2"/>
  <c r="T20" i="2"/>
  <c r="H23" i="2" l="1"/>
  <c r="I23" i="2"/>
  <c r="K23" i="2" s="1"/>
  <c r="S22" i="2"/>
  <c r="C23" i="2"/>
  <c r="O23" i="2" s="1"/>
  <c r="T22" i="2" l="1"/>
  <c r="B24" i="2" l="1"/>
  <c r="S23" i="2"/>
  <c r="L23" i="2"/>
  <c r="N23" i="2" s="1"/>
  <c r="H24" i="2" l="1"/>
  <c r="I24" i="2" s="1"/>
  <c r="K24" i="2" s="1"/>
  <c r="C24" i="2"/>
  <c r="O24" i="2" s="1"/>
  <c r="T23" i="2" l="1"/>
  <c r="S24" i="2"/>
  <c r="L24" i="2" l="1"/>
  <c r="N24" i="2" s="1"/>
  <c r="T24" i="2" l="1"/>
  <c r="P2" i="2" l="1"/>
  <c r="R2" i="2" s="1"/>
  <c r="Q2" i="2" l="1"/>
  <c r="D3" i="2" s="1"/>
  <c r="E3" i="2"/>
  <c r="B3" i="1" s="1"/>
  <c r="E67" i="3" l="1"/>
  <c r="E85" i="3"/>
  <c r="E73" i="3"/>
  <c r="E79" i="3"/>
  <c r="E91" i="3"/>
  <c r="E69" i="3"/>
  <c r="E87" i="3"/>
  <c r="E90" i="3"/>
  <c r="C3" i="1" s="1" a="1"/>
  <c r="C3" i="1" s="1"/>
  <c r="D3" i="1" s="1"/>
  <c r="E80" i="3"/>
  <c r="E82" i="3"/>
  <c r="E81" i="3"/>
  <c r="E70" i="3"/>
  <c r="E71" i="3"/>
  <c r="E86" i="3"/>
  <c r="E89" i="3"/>
  <c r="E74" i="3"/>
  <c r="E76" i="3"/>
  <c r="E77" i="3"/>
  <c r="E83" i="3"/>
  <c r="E92" i="3"/>
  <c r="E72" i="3"/>
  <c r="E88" i="3"/>
  <c r="E78" i="3"/>
  <c r="E68" i="3"/>
  <c r="E75" i="3"/>
  <c r="E84" i="3"/>
  <c r="E94" i="3" l="1"/>
  <c r="E9" i="3" s="1"/>
  <c r="E8" i="3"/>
  <c r="E10" i="3"/>
  <c r="E29" i="3"/>
  <c r="E12" i="3"/>
  <c r="E19" i="3"/>
  <c r="E16" i="3"/>
  <c r="E20" i="3"/>
  <c r="E31" i="3"/>
  <c r="E22" i="3"/>
  <c r="E14" i="3"/>
  <c r="E15" i="3"/>
  <c r="E18" i="3"/>
  <c r="P3" i="2"/>
  <c r="Q3" i="2" s="1"/>
  <c r="D4" i="2" s="1"/>
  <c r="E6" i="3"/>
  <c r="E25" i="3"/>
  <c r="E30" i="3"/>
  <c r="E24" i="3"/>
  <c r="E7" i="3"/>
  <c r="E11" i="3"/>
  <c r="E26" i="3"/>
  <c r="E23" i="3"/>
  <c r="E28" i="3"/>
  <c r="E27" i="3"/>
  <c r="E17" i="3"/>
  <c r="E13" i="3"/>
  <c r="E21" i="3"/>
  <c r="R3" i="2" l="1"/>
  <c r="E4" i="2" s="1"/>
  <c r="B4" i="1" s="1"/>
  <c r="E33" i="3"/>
  <c r="E34" i="3" s="1"/>
  <c r="F84" i="3" l="1"/>
  <c r="F69" i="3"/>
  <c r="F72" i="3"/>
  <c r="F86" i="3"/>
  <c r="F71" i="3"/>
  <c r="F74" i="3"/>
  <c r="F81" i="3"/>
  <c r="F75" i="3"/>
  <c r="F92" i="3"/>
  <c r="F91" i="3"/>
  <c r="F89" i="3"/>
  <c r="F90" i="3"/>
  <c r="C4" i="1" s="1" a="1"/>
  <c r="C4" i="1" s="1"/>
  <c r="D4" i="1" s="1"/>
  <c r="F87" i="3"/>
  <c r="F73" i="3"/>
  <c r="F78" i="3"/>
  <c r="F76" i="3"/>
  <c r="F80" i="3"/>
  <c r="F85" i="3"/>
  <c r="F67" i="3"/>
  <c r="F68" i="3"/>
  <c r="F77" i="3"/>
  <c r="F70" i="3"/>
  <c r="F79" i="3"/>
  <c r="F88" i="3"/>
  <c r="F83" i="3"/>
  <c r="F82" i="3"/>
  <c r="F94" i="3" l="1"/>
  <c r="P4" i="2" s="1"/>
  <c r="F18" i="3"/>
  <c r="F17" i="3"/>
  <c r="F19" i="3"/>
  <c r="F11" i="3"/>
  <c r="F16" i="3"/>
  <c r="F28" i="3"/>
  <c r="F10" i="3"/>
  <c r="F9" i="3"/>
  <c r="F8" i="3"/>
  <c r="F7" i="3"/>
  <c r="F25" i="3"/>
  <c r="F6" i="3"/>
  <c r="F14" i="3"/>
  <c r="F15" i="3"/>
  <c r="F24" i="3"/>
  <c r="F27" i="3"/>
  <c r="F13" i="3"/>
  <c r="F22" i="3"/>
  <c r="F12" i="3"/>
  <c r="F21" i="3"/>
  <c r="F30" i="3"/>
  <c r="F31" i="3"/>
  <c r="F20" i="3"/>
  <c r="F23" i="3"/>
  <c r="F29" i="3"/>
  <c r="Q4" i="2"/>
  <c r="D5" i="2" s="1"/>
  <c r="R4" i="2"/>
  <c r="E5" i="2" s="1"/>
  <c r="G74" i="3" l="1"/>
  <c r="B5" i="1"/>
  <c r="F26" i="3"/>
  <c r="G67" i="3"/>
  <c r="G89" i="3"/>
  <c r="G87" i="3"/>
  <c r="G85" i="3"/>
  <c r="G88" i="3"/>
  <c r="G86" i="3"/>
  <c r="G69" i="3"/>
  <c r="G72" i="3"/>
  <c r="G71" i="3"/>
  <c r="G82" i="3"/>
  <c r="G73" i="3"/>
  <c r="G78" i="3"/>
  <c r="G80" i="3"/>
  <c r="G75" i="3"/>
  <c r="G84" i="3"/>
  <c r="G77" i="3"/>
  <c r="G68" i="3"/>
  <c r="G76" i="3"/>
  <c r="G79" i="3"/>
  <c r="G83" i="3"/>
  <c r="G92" i="3"/>
  <c r="G81" i="3"/>
  <c r="G70" i="3"/>
  <c r="G91" i="3"/>
  <c r="G90" i="3"/>
  <c r="C5" i="1" s="1" a="1"/>
  <c r="C5" i="1" s="1"/>
  <c r="D5" i="1" s="1"/>
  <c r="F33" i="3"/>
  <c r="F34" i="3" s="1"/>
  <c r="G94" i="3" l="1"/>
  <c r="P5" i="2" s="1"/>
  <c r="G13" i="3" l="1"/>
  <c r="G24" i="3"/>
  <c r="G12" i="3"/>
  <c r="G31" i="3"/>
  <c r="G29" i="3"/>
  <c r="G30" i="3"/>
  <c r="G7" i="3"/>
  <c r="G22" i="3"/>
  <c r="G16" i="3"/>
  <c r="G9" i="3"/>
  <c r="G8" i="3"/>
  <c r="G11" i="3"/>
  <c r="G25" i="3"/>
  <c r="G26" i="3"/>
  <c r="G15" i="3"/>
  <c r="G20" i="3"/>
  <c r="G23" i="3"/>
  <c r="G19" i="3"/>
  <c r="G10" i="3"/>
  <c r="G28" i="3"/>
  <c r="G27" i="3"/>
  <c r="G6" i="3"/>
  <c r="G17" i="3"/>
  <c r="G18" i="3"/>
  <c r="G14" i="3"/>
  <c r="G21" i="3"/>
  <c r="Q5" i="2"/>
  <c r="D6" i="2" s="1"/>
  <c r="R5" i="2"/>
  <c r="E6" i="2" s="1"/>
  <c r="B6" i="1" s="1"/>
  <c r="H74" i="3" l="1"/>
  <c r="H89" i="3"/>
  <c r="H67" i="3"/>
  <c r="H88" i="3"/>
  <c r="H83" i="3"/>
  <c r="H87" i="3"/>
  <c r="H72" i="3"/>
  <c r="H84" i="3"/>
  <c r="H77" i="3"/>
  <c r="H82" i="3"/>
  <c r="H90" i="3"/>
  <c r="C6" i="1" s="1" a="1"/>
  <c r="C6" i="1" s="1"/>
  <c r="D6" i="1" s="1"/>
  <c r="H71" i="3"/>
  <c r="H81" i="3"/>
  <c r="H91" i="3"/>
  <c r="H75" i="3"/>
  <c r="H85" i="3"/>
  <c r="H79" i="3"/>
  <c r="H80" i="3"/>
  <c r="H70" i="3"/>
  <c r="H76" i="3"/>
  <c r="H78" i="3"/>
  <c r="H92" i="3"/>
  <c r="H68" i="3"/>
  <c r="H69" i="3"/>
  <c r="H73" i="3"/>
  <c r="H86" i="3"/>
  <c r="G33" i="3"/>
  <c r="G34" i="3" s="1"/>
  <c r="H94" i="3" l="1"/>
  <c r="P6" i="2" s="1"/>
  <c r="H28" i="3" l="1"/>
  <c r="H26" i="3"/>
  <c r="H8" i="3"/>
  <c r="H31" i="3"/>
  <c r="H27" i="3"/>
  <c r="H24" i="3"/>
  <c r="H9" i="3"/>
  <c r="H21" i="3"/>
  <c r="H20" i="3"/>
  <c r="H7" i="3"/>
  <c r="H22" i="3"/>
  <c r="H16" i="3"/>
  <c r="H12" i="3"/>
  <c r="H15" i="3"/>
  <c r="H11" i="3"/>
  <c r="H13" i="3"/>
  <c r="H19" i="3"/>
  <c r="H14" i="3"/>
  <c r="H17" i="3"/>
  <c r="H29" i="3"/>
  <c r="H25" i="3"/>
  <c r="H30" i="3"/>
  <c r="H6" i="3"/>
  <c r="H10" i="3"/>
  <c r="H23" i="3"/>
  <c r="H18" i="3"/>
  <c r="R6" i="2"/>
  <c r="E7" i="2" s="1"/>
  <c r="B7" i="1" s="1"/>
  <c r="Q6" i="2"/>
  <c r="D7" i="2" s="1"/>
  <c r="I69" i="3" l="1"/>
  <c r="I90" i="3"/>
  <c r="C7" i="1" s="1" a="1"/>
  <c r="C7" i="1" s="1"/>
  <c r="D7" i="1" s="1"/>
  <c r="I67" i="3"/>
  <c r="I85" i="3"/>
  <c r="I72" i="3"/>
  <c r="I74" i="3"/>
  <c r="I91" i="3"/>
  <c r="I70" i="3"/>
  <c r="I89" i="3"/>
  <c r="I80" i="3"/>
  <c r="I83" i="3"/>
  <c r="I92" i="3"/>
  <c r="I82" i="3"/>
  <c r="I81" i="3"/>
  <c r="I71" i="3"/>
  <c r="I88" i="3"/>
  <c r="I76" i="3"/>
  <c r="I86" i="3"/>
  <c r="I73" i="3"/>
  <c r="I79" i="3"/>
  <c r="I87" i="3"/>
  <c r="I78" i="3"/>
  <c r="I77" i="3"/>
  <c r="I68" i="3"/>
  <c r="I75" i="3"/>
  <c r="I84" i="3"/>
  <c r="H33" i="3"/>
  <c r="H34" i="3" s="1"/>
  <c r="I94" i="3" l="1"/>
  <c r="P7" i="2" s="1"/>
  <c r="I6" i="3" l="1"/>
  <c r="I28" i="3"/>
  <c r="I10" i="3"/>
  <c r="I18" i="3"/>
  <c r="I21" i="3"/>
  <c r="I8" i="3"/>
  <c r="I15" i="3"/>
  <c r="I9" i="3"/>
  <c r="I27" i="3"/>
  <c r="I29" i="3"/>
  <c r="I24" i="3"/>
  <c r="I7" i="3"/>
  <c r="I23" i="3"/>
  <c r="I31" i="3"/>
  <c r="I30" i="3"/>
  <c r="I16" i="3"/>
  <c r="I22" i="3"/>
  <c r="I14" i="3"/>
  <c r="I11" i="3"/>
  <c r="I12" i="3"/>
  <c r="I25" i="3"/>
  <c r="I13" i="3"/>
  <c r="I17" i="3"/>
  <c r="I20" i="3"/>
  <c r="I26" i="3"/>
  <c r="I19" i="3"/>
  <c r="Q7" i="2"/>
  <c r="D8" i="2" s="1"/>
  <c r="R7" i="2"/>
  <c r="E8" i="2" s="1"/>
  <c r="B8" i="1" s="1"/>
  <c r="J88" i="3" l="1"/>
  <c r="J76" i="3"/>
  <c r="J89" i="3"/>
  <c r="J81" i="3"/>
  <c r="J91" i="3"/>
  <c r="J69" i="3"/>
  <c r="J92" i="3"/>
  <c r="J85" i="3"/>
  <c r="J84" i="3"/>
  <c r="J68" i="3"/>
  <c r="J83" i="3"/>
  <c r="J67" i="3"/>
  <c r="J70" i="3"/>
  <c r="J86" i="3"/>
  <c r="J72" i="3"/>
  <c r="J78" i="3"/>
  <c r="J90" i="3"/>
  <c r="C8" i="1" s="1" a="1"/>
  <c r="C8" i="1" s="1"/>
  <c r="D8" i="1" s="1"/>
  <c r="J80" i="3"/>
  <c r="J75" i="3"/>
  <c r="J73" i="3"/>
  <c r="J82" i="3"/>
  <c r="J74" i="3"/>
  <c r="J87" i="3"/>
  <c r="J79" i="3"/>
  <c r="J77" i="3"/>
  <c r="J71" i="3"/>
  <c r="I33" i="3"/>
  <c r="I34" i="3" s="1"/>
  <c r="J94" i="3" l="1"/>
  <c r="P8" i="2" s="1"/>
  <c r="J7" i="3" l="1"/>
  <c r="J29" i="3"/>
  <c r="J8" i="3"/>
  <c r="J14" i="3"/>
  <c r="J28" i="3"/>
  <c r="J18" i="3"/>
  <c r="J15" i="3"/>
  <c r="J30" i="3"/>
  <c r="J25" i="3"/>
  <c r="J13" i="3"/>
  <c r="J6" i="3"/>
  <c r="J23" i="3"/>
  <c r="J12" i="3"/>
  <c r="J10" i="3"/>
  <c r="J21" i="3"/>
  <c r="J26" i="3"/>
  <c r="J27" i="3"/>
  <c r="J11" i="3"/>
  <c r="J19" i="3"/>
  <c r="J16" i="3"/>
  <c r="J9" i="3"/>
  <c r="J31" i="3"/>
  <c r="J17" i="3"/>
  <c r="J22" i="3"/>
  <c r="J20" i="3"/>
  <c r="J24" i="3"/>
  <c r="Q8" i="2"/>
  <c r="D9" i="2" s="1"/>
  <c r="R8" i="2"/>
  <c r="E9" i="2" s="1"/>
  <c r="B9" i="1" s="1"/>
  <c r="K78" i="3" l="1"/>
  <c r="K83" i="3"/>
  <c r="K84" i="3"/>
  <c r="K74" i="3"/>
  <c r="K92" i="3"/>
  <c r="K68" i="3"/>
  <c r="K77" i="3"/>
  <c r="K79" i="3"/>
  <c r="K91" i="3"/>
  <c r="K89" i="3"/>
  <c r="K81" i="3"/>
  <c r="K88" i="3"/>
  <c r="K67" i="3"/>
  <c r="K86" i="3"/>
  <c r="K75" i="3"/>
  <c r="K80" i="3"/>
  <c r="K87" i="3"/>
  <c r="K73" i="3"/>
  <c r="K71" i="3"/>
  <c r="K69" i="3"/>
  <c r="K82" i="3"/>
  <c r="K85" i="3"/>
  <c r="K90" i="3"/>
  <c r="C9" i="1" s="1" a="1"/>
  <c r="C9" i="1" s="1"/>
  <c r="D9" i="1" s="1"/>
  <c r="K72" i="3"/>
  <c r="K76" i="3"/>
  <c r="K70" i="3"/>
  <c r="J33" i="3"/>
  <c r="J34" i="3" s="1"/>
  <c r="K94" i="3" l="1"/>
  <c r="P9" i="2" s="1"/>
  <c r="K16" i="3" l="1"/>
  <c r="K26" i="3"/>
  <c r="K12" i="3"/>
  <c r="K17" i="3"/>
  <c r="K23" i="3"/>
  <c r="K20" i="3"/>
  <c r="K8" i="3"/>
  <c r="K10" i="3"/>
  <c r="K27" i="3"/>
  <c r="K19" i="3"/>
  <c r="K11" i="3"/>
  <c r="K28" i="3"/>
  <c r="K18" i="3"/>
  <c r="K30" i="3"/>
  <c r="K22" i="3"/>
  <c r="K25" i="3"/>
  <c r="K21" i="3"/>
  <c r="K13" i="3"/>
  <c r="K14" i="3"/>
  <c r="K7" i="3"/>
  <c r="K29" i="3"/>
  <c r="K9" i="3"/>
  <c r="K15" i="3"/>
  <c r="K24" i="3"/>
  <c r="K31" i="3"/>
  <c r="K6" i="3"/>
  <c r="R9" i="2"/>
  <c r="E10" i="2" s="1"/>
  <c r="B10" i="1" s="1"/>
  <c r="Q9" i="2"/>
  <c r="D10" i="2" s="1"/>
  <c r="L68" i="3" l="1"/>
  <c r="L74" i="3"/>
  <c r="L80" i="3"/>
  <c r="L72" i="3"/>
  <c r="L77" i="3"/>
  <c r="L91" i="3"/>
  <c r="L83" i="3"/>
  <c r="L90" i="3"/>
  <c r="C10" i="1" s="1" a="1"/>
  <c r="C10" i="1" s="1"/>
  <c r="D10" i="1" s="1"/>
  <c r="L88" i="3"/>
  <c r="L70" i="3"/>
  <c r="L85" i="3"/>
  <c r="L78" i="3"/>
  <c r="L89" i="3"/>
  <c r="L79" i="3"/>
  <c r="L73" i="3"/>
  <c r="L87" i="3"/>
  <c r="L82" i="3"/>
  <c r="L69" i="3"/>
  <c r="L81" i="3"/>
  <c r="L75" i="3"/>
  <c r="L86" i="3"/>
  <c r="L76" i="3"/>
  <c r="L71" i="3"/>
  <c r="L84" i="3"/>
  <c r="L92" i="3"/>
  <c r="L67" i="3"/>
  <c r="K33" i="3"/>
  <c r="K34" i="3" s="1"/>
  <c r="L94" i="3" l="1"/>
  <c r="P10" i="2" s="1"/>
  <c r="L18" i="3" l="1"/>
  <c r="L24" i="3"/>
  <c r="L27" i="3"/>
  <c r="L7" i="3"/>
  <c r="L8" i="3"/>
  <c r="L23" i="3"/>
  <c r="L21" i="3"/>
  <c r="L14" i="3"/>
  <c r="L12" i="3"/>
  <c r="L11" i="3"/>
  <c r="L22" i="3"/>
  <c r="L13" i="3"/>
  <c r="L31" i="3"/>
  <c r="L17" i="3"/>
  <c r="L25" i="3"/>
  <c r="L9" i="3"/>
  <c r="L19" i="3"/>
  <c r="L6" i="3"/>
  <c r="L30" i="3"/>
  <c r="L26" i="3"/>
  <c r="L29" i="3"/>
  <c r="L28" i="3"/>
  <c r="L20" i="3"/>
  <c r="L10" i="3"/>
  <c r="L15" i="3"/>
  <c r="L16" i="3"/>
  <c r="Q10" i="2"/>
  <c r="D11" i="2" s="1"/>
  <c r="R10" i="2"/>
  <c r="E11" i="2" s="1"/>
  <c r="B11" i="1" s="1"/>
  <c r="M84" i="3" l="1"/>
  <c r="M77" i="3"/>
  <c r="M80" i="3"/>
  <c r="M74" i="3"/>
  <c r="M83" i="3"/>
  <c r="M68" i="3"/>
  <c r="M91" i="3"/>
  <c r="M69" i="3"/>
  <c r="M71" i="3"/>
  <c r="M87" i="3"/>
  <c r="M76" i="3"/>
  <c r="M75" i="3"/>
  <c r="M79" i="3"/>
  <c r="M78" i="3"/>
  <c r="M70" i="3"/>
  <c r="M67" i="3"/>
  <c r="M72" i="3"/>
  <c r="M86" i="3"/>
  <c r="M92" i="3"/>
  <c r="M82" i="3"/>
  <c r="M73" i="3"/>
  <c r="M81" i="3"/>
  <c r="M85" i="3"/>
  <c r="M88" i="3"/>
  <c r="M90" i="3"/>
  <c r="C11" i="1" s="1" a="1"/>
  <c r="C11" i="1" s="1"/>
  <c r="D11" i="1" s="1"/>
  <c r="M89" i="3"/>
  <c r="L33" i="3"/>
  <c r="L34" i="3" s="1"/>
  <c r="M94" i="3" l="1"/>
  <c r="P11" i="2" s="1"/>
  <c r="M14" i="3" l="1"/>
  <c r="M20" i="3"/>
  <c r="M16" i="3"/>
  <c r="M21" i="3"/>
  <c r="M9" i="3"/>
  <c r="M19" i="3"/>
  <c r="M8" i="3"/>
  <c r="M31" i="3"/>
  <c r="M29" i="3"/>
  <c r="M25" i="3"/>
  <c r="M15" i="3"/>
  <c r="M24" i="3"/>
  <c r="M26" i="3"/>
  <c r="M12" i="3"/>
  <c r="M22" i="3"/>
  <c r="M23" i="3"/>
  <c r="M28" i="3"/>
  <c r="M13" i="3"/>
  <c r="M6" i="3"/>
  <c r="M10" i="3"/>
  <c r="M27" i="3"/>
  <c r="M17" i="3"/>
  <c r="M7" i="3"/>
  <c r="M18" i="3"/>
  <c r="M11" i="3"/>
  <c r="M30" i="3"/>
  <c r="R11" i="2"/>
  <c r="E12" i="2" s="1"/>
  <c r="B12" i="1" s="1"/>
  <c r="Q11" i="2"/>
  <c r="D12" i="2" s="1"/>
  <c r="N88" i="3" l="1"/>
  <c r="N67" i="3"/>
  <c r="N71" i="3"/>
  <c r="N77" i="3"/>
  <c r="N91" i="3"/>
  <c r="N82" i="3"/>
  <c r="N90" i="3"/>
  <c r="C12" i="1" s="1" a="1"/>
  <c r="C12" i="1" s="1"/>
  <c r="D12" i="1" s="1"/>
  <c r="N72" i="3"/>
  <c r="N87" i="3"/>
  <c r="N80" i="3"/>
  <c r="N68" i="3"/>
  <c r="N84" i="3"/>
  <c r="N85" i="3"/>
  <c r="N76" i="3"/>
  <c r="N74" i="3"/>
  <c r="N75" i="3"/>
  <c r="N89" i="3"/>
  <c r="N83" i="3"/>
  <c r="N79" i="3"/>
  <c r="N86" i="3"/>
  <c r="N73" i="3"/>
  <c r="N78" i="3"/>
  <c r="N92" i="3"/>
  <c r="N81" i="3"/>
  <c r="N70" i="3"/>
  <c r="N69" i="3"/>
  <c r="M33" i="3"/>
  <c r="M34" i="3" s="1"/>
  <c r="N94" i="3" l="1"/>
  <c r="P12" i="2" s="1"/>
  <c r="N6" i="3" l="1"/>
  <c r="N7" i="3"/>
  <c r="N28" i="3"/>
  <c r="N26" i="3"/>
  <c r="N31" i="3"/>
  <c r="N20" i="3"/>
  <c r="N25" i="3"/>
  <c r="N8" i="3"/>
  <c r="N23" i="3"/>
  <c r="N13" i="3"/>
  <c r="N9" i="3"/>
  <c r="N18" i="3"/>
  <c r="N21" i="3"/>
  <c r="N19" i="3"/>
  <c r="N27" i="3"/>
  <c r="N11" i="3"/>
  <c r="N22" i="3"/>
  <c r="N12" i="3"/>
  <c r="N29" i="3"/>
  <c r="N24" i="3"/>
  <c r="N30" i="3"/>
  <c r="N17" i="3"/>
  <c r="N15" i="3"/>
  <c r="N16" i="3"/>
  <c r="N14" i="3"/>
  <c r="N10" i="3"/>
  <c r="Q12" i="2"/>
  <c r="D13" i="2" s="1"/>
  <c r="R12" i="2"/>
  <c r="E13" i="2" s="1"/>
  <c r="B13" i="1" s="1"/>
  <c r="O92" i="3" l="1"/>
  <c r="O77" i="3"/>
  <c r="O71" i="3"/>
  <c r="O67" i="3"/>
  <c r="O90" i="3"/>
  <c r="C13" i="1" s="1" a="1"/>
  <c r="C13" i="1" s="1"/>
  <c r="D13" i="1" s="1"/>
  <c r="O86" i="3"/>
  <c r="O76" i="3"/>
  <c r="O87" i="3"/>
  <c r="O68" i="3"/>
  <c r="O81" i="3"/>
  <c r="O83" i="3"/>
  <c r="O84" i="3"/>
  <c r="O88" i="3"/>
  <c r="O69" i="3"/>
  <c r="O80" i="3"/>
  <c r="O91" i="3"/>
  <c r="O78" i="3"/>
  <c r="O89" i="3"/>
  <c r="O70" i="3"/>
  <c r="O82" i="3"/>
  <c r="O73" i="3"/>
  <c r="O79" i="3"/>
  <c r="O72" i="3"/>
  <c r="O75" i="3"/>
  <c r="O74" i="3"/>
  <c r="O85" i="3"/>
  <c r="N33" i="3"/>
  <c r="N34" i="3" s="1"/>
  <c r="O94" i="3" l="1"/>
  <c r="P13" i="2" s="1"/>
  <c r="O27" i="3" l="1"/>
  <c r="O8" i="3"/>
  <c r="O6" i="3"/>
  <c r="O10" i="3"/>
  <c r="O12" i="3"/>
  <c r="O7" i="3"/>
  <c r="O14" i="3"/>
  <c r="O13" i="3"/>
  <c r="O17" i="3"/>
  <c r="O28" i="3"/>
  <c r="O11" i="3"/>
  <c r="O29" i="3"/>
  <c r="O23" i="3"/>
  <c r="O24" i="3"/>
  <c r="O15" i="3"/>
  <c r="O18" i="3"/>
  <c r="O31" i="3"/>
  <c r="O22" i="3"/>
  <c r="O20" i="3"/>
  <c r="O21" i="3"/>
  <c r="O25" i="3"/>
  <c r="O19" i="3"/>
  <c r="O9" i="3"/>
  <c r="O16" i="3"/>
  <c r="O26" i="3"/>
  <c r="O30" i="3"/>
  <c r="Q13" i="2"/>
  <c r="D14" i="2" s="1"/>
  <c r="R13" i="2"/>
  <c r="E14" i="2" s="1"/>
  <c r="B14" i="1" s="1"/>
  <c r="P78" i="3" l="1"/>
  <c r="P67" i="3"/>
  <c r="P71" i="3"/>
  <c r="P87" i="3"/>
  <c r="P76" i="3"/>
  <c r="P77" i="3"/>
  <c r="P75" i="3"/>
  <c r="P85" i="3"/>
  <c r="P88" i="3"/>
  <c r="P83" i="3"/>
  <c r="P84" i="3"/>
  <c r="P89" i="3"/>
  <c r="P92" i="3"/>
  <c r="P73" i="3"/>
  <c r="P74" i="3"/>
  <c r="P90" i="3"/>
  <c r="C14" i="1" s="1" a="1"/>
  <c r="C14" i="1" s="1"/>
  <c r="D14" i="1" s="1"/>
  <c r="P72" i="3"/>
  <c r="P86" i="3"/>
  <c r="P91" i="3"/>
  <c r="P79" i="3"/>
  <c r="P80" i="3"/>
  <c r="P82" i="3"/>
  <c r="P70" i="3"/>
  <c r="P81" i="3"/>
  <c r="P68" i="3"/>
  <c r="P69" i="3"/>
  <c r="O33" i="3"/>
  <c r="O34" i="3" s="1"/>
  <c r="P94" i="3" l="1"/>
  <c r="P14" i="2" s="1"/>
  <c r="P11" i="3" l="1"/>
  <c r="P8" i="3"/>
  <c r="P20" i="3"/>
  <c r="P16" i="3"/>
  <c r="P13" i="3"/>
  <c r="P7" i="3"/>
  <c r="P30" i="3"/>
  <c r="P27" i="3"/>
  <c r="P23" i="3"/>
  <c r="P25" i="3"/>
  <c r="P18" i="3"/>
  <c r="P9" i="3"/>
  <c r="P19" i="3"/>
  <c r="P14" i="3"/>
  <c r="P24" i="3"/>
  <c r="P21" i="3"/>
  <c r="P6" i="3"/>
  <c r="P10" i="3"/>
  <c r="P22" i="3"/>
  <c r="P12" i="3"/>
  <c r="P17" i="3"/>
  <c r="P29" i="3"/>
  <c r="P28" i="3"/>
  <c r="P26" i="3"/>
  <c r="P15" i="3"/>
  <c r="P31" i="3"/>
  <c r="Q14" i="2"/>
  <c r="D15" i="2" s="1"/>
  <c r="R14" i="2"/>
  <c r="E15" i="2" s="1"/>
  <c r="B15" i="1" s="1"/>
  <c r="Q81" i="3" l="1"/>
  <c r="Q90" i="3"/>
  <c r="C15" i="1" s="1" a="1"/>
  <c r="C15" i="1" s="1"/>
  <c r="D15" i="1" s="1"/>
  <c r="Q74" i="3"/>
  <c r="Q85" i="3"/>
  <c r="Q75" i="3"/>
  <c r="Q73" i="3"/>
  <c r="Q84" i="3"/>
  <c r="Q83" i="3"/>
  <c r="Q88" i="3"/>
  <c r="Q67" i="3"/>
  <c r="Q78" i="3"/>
  <c r="Q68" i="3"/>
  <c r="Q80" i="3"/>
  <c r="Q76" i="3"/>
  <c r="Q87" i="3"/>
  <c r="Q71" i="3"/>
  <c r="Q69" i="3"/>
  <c r="Q89" i="3"/>
  <c r="Q82" i="3"/>
  <c r="Q86" i="3"/>
  <c r="Q77" i="3"/>
  <c r="Q79" i="3"/>
  <c r="Q92" i="3"/>
  <c r="Q70" i="3"/>
  <c r="Q72" i="3"/>
  <c r="Q91" i="3"/>
  <c r="P33" i="3"/>
  <c r="P34" i="3" s="1"/>
  <c r="Q94" i="3" l="1"/>
  <c r="P15" i="2" s="1"/>
  <c r="Q30" i="3" l="1"/>
  <c r="Q21" i="3"/>
  <c r="Q14" i="3"/>
  <c r="Q17" i="3"/>
  <c r="Q22" i="3"/>
  <c r="Q8" i="3"/>
  <c r="Q23" i="3"/>
  <c r="Q19" i="3"/>
  <c r="Q7" i="3"/>
  <c r="Q10" i="3"/>
  <c r="Q25" i="3"/>
  <c r="Q15" i="3"/>
  <c r="Q16" i="3"/>
  <c r="Q6" i="3"/>
  <c r="Q26" i="3"/>
  <c r="Q13" i="3"/>
  <c r="Q31" i="3"/>
  <c r="Q27" i="3"/>
  <c r="Q9" i="3"/>
  <c r="Q29" i="3"/>
  <c r="Q20" i="3"/>
  <c r="Q12" i="3"/>
  <c r="Q28" i="3"/>
  <c r="Q18" i="3"/>
  <c r="Q24" i="3"/>
  <c r="Q11" i="3"/>
  <c r="Q15" i="2"/>
  <c r="D16" i="2" s="1"/>
  <c r="R15" i="2"/>
  <c r="E16" i="2" s="1"/>
  <c r="B16" i="1" s="1"/>
  <c r="R70" i="3" l="1"/>
  <c r="R78" i="3"/>
  <c r="R74" i="3"/>
  <c r="R90" i="3"/>
  <c r="R84" i="3"/>
  <c r="R77" i="3"/>
  <c r="R86" i="3"/>
  <c r="R89" i="3"/>
  <c r="R75" i="3"/>
  <c r="R67" i="3"/>
  <c r="R79" i="3"/>
  <c r="R81" i="3"/>
  <c r="R68" i="3"/>
  <c r="R71" i="3"/>
  <c r="R91" i="3"/>
  <c r="R85" i="3"/>
  <c r="R73" i="3"/>
  <c r="R72" i="3"/>
  <c r="R82" i="3"/>
  <c r="R92" i="3"/>
  <c r="R87" i="3"/>
  <c r="R76" i="3"/>
  <c r="R69" i="3"/>
  <c r="R88" i="3"/>
  <c r="R83" i="3"/>
  <c r="R80" i="3"/>
  <c r="Q33" i="3"/>
  <c r="Q34" i="3" s="1"/>
  <c r="C16" i="1" l="1" a="1"/>
  <c r="C16" i="1" s="1"/>
  <c r="R94" i="3"/>
  <c r="P16" i="2" s="1"/>
  <c r="D16" i="1" l="1"/>
  <c r="R23" i="3"/>
  <c r="R28" i="3"/>
  <c r="R15" i="3"/>
  <c r="R13" i="3"/>
  <c r="R25" i="3"/>
  <c r="R12" i="3"/>
  <c r="R14" i="3"/>
  <c r="R16" i="3"/>
  <c r="R27" i="3"/>
  <c r="R26" i="3"/>
  <c r="R30" i="3"/>
  <c r="R8" i="3"/>
  <c r="R21" i="3"/>
  <c r="R29" i="3"/>
  <c r="R18" i="3"/>
  <c r="R6" i="3"/>
  <c r="R10" i="3"/>
  <c r="R20" i="3"/>
  <c r="R9" i="3"/>
  <c r="R17" i="3"/>
  <c r="R31" i="3"/>
  <c r="R22" i="3"/>
  <c r="R19" i="3"/>
  <c r="R11" i="3"/>
  <c r="R7" i="3"/>
  <c r="R24" i="3"/>
  <c r="Q16" i="2"/>
  <c r="D17" i="2" s="1"/>
  <c r="R16" i="2"/>
  <c r="E17" i="2" s="1"/>
  <c r="B17" i="1" s="1"/>
  <c r="I3" i="1" l="1" a="1"/>
  <c r="S77" i="3"/>
  <c r="S67" i="3"/>
  <c r="S75" i="3"/>
  <c r="S78" i="3"/>
  <c r="S86" i="3"/>
  <c r="S69" i="3"/>
  <c r="S82" i="3"/>
  <c r="S68" i="3"/>
  <c r="S73" i="3"/>
  <c r="S90" i="3"/>
  <c r="C17" i="1" s="1" a="1"/>
  <c r="C17" i="1" s="1"/>
  <c r="D17" i="1" s="1"/>
  <c r="S74" i="3"/>
  <c r="S72" i="3"/>
  <c r="S70" i="3"/>
  <c r="S83" i="3"/>
  <c r="S85" i="3"/>
  <c r="S79" i="3"/>
  <c r="S88" i="3"/>
  <c r="S76" i="3"/>
  <c r="S92" i="3"/>
  <c r="S80" i="3"/>
  <c r="S91" i="3"/>
  <c r="S84" i="3"/>
  <c r="S89" i="3"/>
  <c r="S81" i="3"/>
  <c r="S87" i="3"/>
  <c r="S71" i="3"/>
  <c r="R33" i="3"/>
  <c r="R34" i="3" s="1"/>
  <c r="S94" i="3" l="1"/>
  <c r="P17" i="2" s="1"/>
  <c r="S11" i="3" l="1"/>
  <c r="S20" i="3"/>
  <c r="S16" i="3"/>
  <c r="S18" i="3"/>
  <c r="S30" i="3"/>
  <c r="S6" i="3"/>
  <c r="S10" i="3"/>
  <c r="S29" i="3"/>
  <c r="S21" i="3"/>
  <c r="S24" i="3"/>
  <c r="S22" i="3"/>
  <c r="S31" i="3"/>
  <c r="S8" i="3"/>
  <c r="S13" i="3"/>
  <c r="S27" i="3"/>
  <c r="S23" i="3"/>
  <c r="S28" i="3"/>
  <c r="S12" i="3"/>
  <c r="S7" i="3"/>
  <c r="S19" i="3"/>
  <c r="S15" i="3"/>
  <c r="S14" i="3"/>
  <c r="S26" i="3"/>
  <c r="S17" i="3"/>
  <c r="S9" i="3"/>
  <c r="S25" i="3"/>
  <c r="Q17" i="2"/>
  <c r="D18" i="2" s="1"/>
  <c r="R17" i="2"/>
  <c r="E18" i="2" s="1"/>
  <c r="B18" i="1" s="1"/>
  <c r="T74" i="3" l="1"/>
  <c r="T90" i="3"/>
  <c r="C18" i="1" s="1" a="1"/>
  <c r="C18" i="1" s="1"/>
  <c r="D18" i="1" s="1"/>
  <c r="T75" i="3"/>
  <c r="T68" i="3"/>
  <c r="T82" i="3"/>
  <c r="T86" i="3"/>
  <c r="T78" i="3"/>
  <c r="T72" i="3"/>
  <c r="T67" i="3"/>
  <c r="T77" i="3"/>
  <c r="T71" i="3"/>
  <c r="T79" i="3"/>
  <c r="T81" i="3"/>
  <c r="T69" i="3"/>
  <c r="T88" i="3"/>
  <c r="T76" i="3"/>
  <c r="T87" i="3"/>
  <c r="T83" i="3"/>
  <c r="T89" i="3"/>
  <c r="T91" i="3"/>
  <c r="T80" i="3"/>
  <c r="T70" i="3"/>
  <c r="T84" i="3"/>
  <c r="T85" i="3"/>
  <c r="T92" i="3"/>
  <c r="T73" i="3"/>
  <c r="S33" i="3"/>
  <c r="S34" i="3" s="1"/>
  <c r="T94" i="3" l="1"/>
  <c r="P18" i="2" s="1"/>
  <c r="T16" i="3" l="1"/>
  <c r="T9" i="3"/>
  <c r="T6" i="3"/>
  <c r="T20" i="3"/>
  <c r="T30" i="3"/>
  <c r="T10" i="3"/>
  <c r="T26" i="3"/>
  <c r="T14" i="3"/>
  <c r="T31" i="3"/>
  <c r="T19" i="3"/>
  <c r="T7" i="3"/>
  <c r="T12" i="3"/>
  <c r="T25" i="3"/>
  <c r="T27" i="3"/>
  <c r="T21" i="3"/>
  <c r="T13" i="3"/>
  <c r="T15" i="3"/>
  <c r="T24" i="3"/>
  <c r="T17" i="3"/>
  <c r="T29" i="3"/>
  <c r="T18" i="3"/>
  <c r="T22" i="3"/>
  <c r="T28" i="3"/>
  <c r="T11" i="3"/>
  <c r="T23" i="3"/>
  <c r="T8" i="3"/>
  <c r="Q18" i="2"/>
  <c r="D19" i="2" s="1"/>
  <c r="R18" i="2"/>
  <c r="E19" i="2" s="1"/>
  <c r="B19" i="1" s="1"/>
  <c r="U86" i="3" l="1"/>
  <c r="U76" i="3"/>
  <c r="U67" i="3"/>
  <c r="U72" i="3"/>
  <c r="U78" i="3"/>
  <c r="U84" i="3"/>
  <c r="U87" i="3"/>
  <c r="U77" i="3"/>
  <c r="U75" i="3"/>
  <c r="U90" i="3"/>
  <c r="C19" i="1" s="1" a="1"/>
  <c r="C19" i="1" s="1"/>
  <c r="D19" i="1" s="1"/>
  <c r="U74" i="3"/>
  <c r="U82" i="3"/>
  <c r="U73" i="3"/>
  <c r="U92" i="3"/>
  <c r="U89" i="3"/>
  <c r="U71" i="3"/>
  <c r="U68" i="3"/>
  <c r="U79" i="3"/>
  <c r="U83" i="3"/>
  <c r="U91" i="3"/>
  <c r="U85" i="3"/>
  <c r="U80" i="3"/>
  <c r="U70" i="3"/>
  <c r="U88" i="3"/>
  <c r="U69" i="3"/>
  <c r="U81" i="3"/>
  <c r="T33" i="3"/>
  <c r="T34" i="3" s="1"/>
  <c r="U94" i="3" l="1"/>
  <c r="P19" i="2" s="1"/>
  <c r="U31" i="3" l="1"/>
  <c r="U25" i="3"/>
  <c r="U12" i="3"/>
  <c r="U22" i="3"/>
  <c r="U23" i="3"/>
  <c r="U21" i="3"/>
  <c r="U13" i="3"/>
  <c r="U14" i="3"/>
  <c r="U28" i="3"/>
  <c r="U7" i="3"/>
  <c r="U26" i="3"/>
  <c r="U8" i="3"/>
  <c r="U9" i="3"/>
  <c r="U27" i="3"/>
  <c r="U29" i="3"/>
  <c r="U15" i="3"/>
  <c r="U19" i="3"/>
  <c r="U6" i="3"/>
  <c r="U20" i="3"/>
  <c r="U24" i="3"/>
  <c r="U30" i="3"/>
  <c r="U10" i="3"/>
  <c r="U11" i="3"/>
  <c r="U16" i="3"/>
  <c r="U17" i="3"/>
  <c r="U18" i="3"/>
  <c r="Q19" i="2"/>
  <c r="D20" i="2" s="1"/>
  <c r="R19" i="2"/>
  <c r="E20" i="2" s="1"/>
  <c r="B20" i="1" s="1"/>
  <c r="V82" i="3" l="1"/>
  <c r="V80" i="3"/>
  <c r="V89" i="3"/>
  <c r="V77" i="3"/>
  <c r="V87" i="3"/>
  <c r="V86" i="3"/>
  <c r="V88" i="3"/>
  <c r="V84" i="3"/>
  <c r="V70" i="3"/>
  <c r="V71" i="3"/>
  <c r="V75" i="3"/>
  <c r="V76" i="3"/>
  <c r="V81" i="3"/>
  <c r="V91" i="3"/>
  <c r="V85" i="3"/>
  <c r="V68" i="3"/>
  <c r="V90" i="3"/>
  <c r="C20" i="1" s="1" a="1"/>
  <c r="C20" i="1" s="1"/>
  <c r="D20" i="1" s="1"/>
  <c r="V67" i="3"/>
  <c r="V79" i="3"/>
  <c r="V74" i="3"/>
  <c r="V72" i="3"/>
  <c r="V69" i="3"/>
  <c r="V83" i="3"/>
  <c r="V92" i="3"/>
  <c r="V78" i="3"/>
  <c r="V73" i="3"/>
  <c r="U33" i="3"/>
  <c r="U34" i="3" s="1"/>
  <c r="V94" i="3" l="1"/>
  <c r="P20" i="2" s="1"/>
  <c r="V11" i="3" l="1"/>
  <c r="V9" i="3"/>
  <c r="V29" i="3"/>
  <c r="V19" i="3"/>
  <c r="V30" i="3"/>
  <c r="V18" i="3"/>
  <c r="V7" i="3"/>
  <c r="V20" i="3"/>
  <c r="V8" i="3"/>
  <c r="V16" i="3"/>
  <c r="V22" i="3"/>
  <c r="V14" i="3"/>
  <c r="V23" i="3"/>
  <c r="V21" i="3"/>
  <c r="V10" i="3"/>
  <c r="V24" i="3"/>
  <c r="V25" i="3"/>
  <c r="V27" i="3"/>
  <c r="V31" i="3"/>
  <c r="V26" i="3"/>
  <c r="V28" i="3"/>
  <c r="V15" i="3"/>
  <c r="V6" i="3"/>
  <c r="V17" i="3"/>
  <c r="V12" i="3"/>
  <c r="V13" i="3"/>
  <c r="R20" i="2"/>
  <c r="E21" i="2" s="1"/>
  <c r="B21" i="1" s="1"/>
  <c r="Q20" i="2"/>
  <c r="D21" i="2" s="1"/>
  <c r="W69" i="3" l="1"/>
  <c r="W86" i="3"/>
  <c r="W72" i="3"/>
  <c r="W74" i="3"/>
  <c r="W88" i="3"/>
  <c r="W77" i="3"/>
  <c r="W83" i="3"/>
  <c r="W85" i="3"/>
  <c r="W91" i="3"/>
  <c r="W82" i="3"/>
  <c r="W92" i="3"/>
  <c r="W89" i="3"/>
  <c r="W78" i="3"/>
  <c r="W90" i="3"/>
  <c r="C21" i="1" s="1" a="1"/>
  <c r="C21" i="1" s="1"/>
  <c r="D21" i="1" s="1"/>
  <c r="W70" i="3"/>
  <c r="W84" i="3"/>
  <c r="W75" i="3"/>
  <c r="W80" i="3"/>
  <c r="W79" i="3"/>
  <c r="W67" i="3"/>
  <c r="W87" i="3"/>
  <c r="W71" i="3"/>
  <c r="W76" i="3"/>
  <c r="W68" i="3"/>
  <c r="W73" i="3"/>
  <c r="W81" i="3"/>
  <c r="V33" i="3"/>
  <c r="V34" i="3" s="1"/>
  <c r="W94" i="3" l="1"/>
  <c r="P21" i="2" s="1"/>
  <c r="W8" i="3" l="1"/>
  <c r="W24" i="3"/>
  <c r="W23" i="3"/>
  <c r="W7" i="3"/>
  <c r="W27" i="3"/>
  <c r="W20" i="3"/>
  <c r="W22" i="3"/>
  <c r="W11" i="3"/>
  <c r="W31" i="3"/>
  <c r="W12" i="3"/>
  <c r="W17" i="3"/>
  <c r="W29" i="3"/>
  <c r="W28" i="3"/>
  <c r="W19" i="3"/>
  <c r="W21" i="3"/>
  <c r="W15" i="3"/>
  <c r="W9" i="3"/>
  <c r="W30" i="3"/>
  <c r="W10" i="3"/>
  <c r="W13" i="3"/>
  <c r="W26" i="3"/>
  <c r="W18" i="3"/>
  <c r="W16" i="3"/>
  <c r="W14" i="3"/>
  <c r="W25" i="3"/>
  <c r="W6" i="3"/>
  <c r="R21" i="2"/>
  <c r="E22" i="2" s="1"/>
  <c r="B22" i="1" s="1"/>
  <c r="Q21" i="2"/>
  <c r="D22" i="2" s="1"/>
  <c r="X74" i="3" l="1"/>
  <c r="X76" i="3"/>
  <c r="X91" i="3"/>
  <c r="X85" i="3"/>
  <c r="X83" i="3"/>
  <c r="X80" i="3"/>
  <c r="X82" i="3"/>
  <c r="X89" i="3"/>
  <c r="X73" i="3"/>
  <c r="X68" i="3"/>
  <c r="X75" i="3"/>
  <c r="X72" i="3"/>
  <c r="X86" i="3"/>
  <c r="X69" i="3"/>
  <c r="X92" i="3"/>
  <c r="X87" i="3"/>
  <c r="X88" i="3"/>
  <c r="X77" i="3"/>
  <c r="X84" i="3"/>
  <c r="X67" i="3"/>
  <c r="X79" i="3"/>
  <c r="X71" i="3"/>
  <c r="X70" i="3"/>
  <c r="X90" i="3"/>
  <c r="C22" i="1" s="1" a="1"/>
  <c r="C22" i="1" s="1"/>
  <c r="D22" i="1" s="1"/>
  <c r="X78" i="3"/>
  <c r="X81" i="3"/>
  <c r="W33" i="3"/>
  <c r="W34" i="3" s="1"/>
  <c r="X94" i="3" l="1"/>
  <c r="P22" i="2" s="1"/>
  <c r="X14" i="3" l="1"/>
  <c r="X6" i="3"/>
  <c r="X30" i="3"/>
  <c r="X15" i="3"/>
  <c r="X22" i="3"/>
  <c r="X7" i="3"/>
  <c r="X13" i="3"/>
  <c r="X21" i="3"/>
  <c r="X12" i="3"/>
  <c r="X20" i="3"/>
  <c r="X26" i="3"/>
  <c r="X28" i="3"/>
  <c r="X25" i="3"/>
  <c r="X10" i="3"/>
  <c r="X27" i="3"/>
  <c r="X29" i="3"/>
  <c r="X8" i="3"/>
  <c r="X18" i="3"/>
  <c r="X11" i="3"/>
  <c r="X16" i="3"/>
  <c r="X31" i="3"/>
  <c r="X19" i="3"/>
  <c r="X23" i="3"/>
  <c r="X9" i="3"/>
  <c r="X24" i="3"/>
  <c r="X17" i="3"/>
  <c r="Q22" i="2"/>
  <c r="D23" i="2" s="1"/>
  <c r="R22" i="2"/>
  <c r="E23" i="2" s="1"/>
  <c r="B23" i="1" s="1"/>
  <c r="Y87" i="3" l="1"/>
  <c r="Y85" i="3"/>
  <c r="Y68" i="3"/>
  <c r="Y76" i="3"/>
  <c r="Y82" i="3"/>
  <c r="Y74" i="3"/>
  <c r="Y70" i="3"/>
  <c r="Y91" i="3"/>
  <c r="Y77" i="3"/>
  <c r="Y67" i="3"/>
  <c r="Y92" i="3"/>
  <c r="Y73" i="3"/>
  <c r="Y79" i="3"/>
  <c r="Y71" i="3"/>
  <c r="Y90" i="3"/>
  <c r="C23" i="1" s="1" a="1"/>
  <c r="C23" i="1" s="1"/>
  <c r="D23" i="1" s="1"/>
  <c r="Y81" i="3"/>
  <c r="Y88" i="3"/>
  <c r="Y78" i="3"/>
  <c r="Y84" i="3"/>
  <c r="Y72" i="3"/>
  <c r="Y75" i="3"/>
  <c r="Y69" i="3"/>
  <c r="Y80" i="3"/>
  <c r="Y83" i="3"/>
  <c r="Y89" i="3"/>
  <c r="Y86" i="3"/>
  <c r="X33" i="3"/>
  <c r="X34" i="3" s="1"/>
  <c r="Y94" i="3" l="1"/>
  <c r="P23" i="2" s="1"/>
  <c r="Y20" i="3" l="1"/>
  <c r="Y26" i="3"/>
  <c r="Y14" i="3"/>
  <c r="Y16" i="3"/>
  <c r="Y15" i="3"/>
  <c r="Y9" i="3"/>
  <c r="Y13" i="3"/>
  <c r="Y31" i="3"/>
  <c r="Y25" i="3"/>
  <c r="Y24" i="3"/>
  <c r="Y6" i="3"/>
  <c r="Y19" i="3"/>
  <c r="Y28" i="3"/>
  <c r="Y29" i="3"/>
  <c r="Y7" i="3"/>
  <c r="Y21" i="3"/>
  <c r="Y8" i="3"/>
  <c r="Y12" i="3"/>
  <c r="Y10" i="3"/>
  <c r="Y11" i="3"/>
  <c r="Y22" i="3"/>
  <c r="Y17" i="3"/>
  <c r="Y27" i="3"/>
  <c r="Y23" i="3"/>
  <c r="Y18" i="3"/>
  <c r="Y30" i="3"/>
  <c r="Q23" i="2"/>
  <c r="D24" i="2" s="1"/>
  <c r="R23" i="2"/>
  <c r="E24" i="2" s="1"/>
  <c r="B24" i="1" s="1"/>
  <c r="I6" i="1" s="1"/>
  <c r="Z73" i="3" l="1"/>
  <c r="C73" i="3" s="1" a="1"/>
  <c r="C73" i="3" s="1"/>
  <c r="Z69" i="3"/>
  <c r="C69" i="3" s="1" a="1"/>
  <c r="C69" i="3" s="1"/>
  <c r="Z77" i="3"/>
  <c r="C77" i="3" s="1" a="1"/>
  <c r="C77" i="3" s="1"/>
  <c r="Z91" i="3"/>
  <c r="C91" i="3" s="1" a="1"/>
  <c r="C91" i="3" s="1"/>
  <c r="Z70" i="3"/>
  <c r="C70" i="3" s="1" a="1"/>
  <c r="C70" i="3" s="1"/>
  <c r="Z87" i="3"/>
  <c r="C87" i="3" s="1" a="1"/>
  <c r="C87" i="3" s="1"/>
  <c r="Z84" i="3"/>
  <c r="C84" i="3" s="1" a="1"/>
  <c r="C84" i="3" s="1"/>
  <c r="Z71" i="3"/>
  <c r="C71" i="3" s="1" a="1"/>
  <c r="C71" i="3" s="1"/>
  <c r="Z80" i="3"/>
  <c r="C80" i="3" s="1" a="1"/>
  <c r="C80" i="3" s="1"/>
  <c r="Z81" i="3"/>
  <c r="C81" i="3" s="1" a="1"/>
  <c r="C81" i="3" s="1"/>
  <c r="Z68" i="3"/>
  <c r="C68" i="3" s="1" a="1"/>
  <c r="C68" i="3" s="1"/>
  <c r="Z85" i="3"/>
  <c r="C85" i="3" s="1" a="1"/>
  <c r="C85" i="3" s="1"/>
  <c r="Z92" i="3"/>
  <c r="C92" i="3" s="1" a="1"/>
  <c r="C92" i="3" s="1"/>
  <c r="Z86" i="3"/>
  <c r="C86" i="3" s="1" a="1"/>
  <c r="C86" i="3" s="1"/>
  <c r="Z90" i="3"/>
  <c r="Z88" i="3"/>
  <c r="C88" i="3" s="1" a="1"/>
  <c r="C88" i="3" s="1"/>
  <c r="Z67" i="3"/>
  <c r="C67" i="3" s="1" a="1"/>
  <c r="C67" i="3" s="1"/>
  <c r="Z83" i="3"/>
  <c r="C83" i="3" s="1" a="1"/>
  <c r="C83" i="3" s="1"/>
  <c r="Z78" i="3"/>
  <c r="C78" i="3" s="1" a="1"/>
  <c r="C78" i="3" s="1"/>
  <c r="Z76" i="3"/>
  <c r="C76" i="3" s="1" a="1"/>
  <c r="C76" i="3" s="1"/>
  <c r="Z89" i="3"/>
  <c r="C89" i="3" s="1" a="1"/>
  <c r="C89" i="3" s="1"/>
  <c r="Z82" i="3"/>
  <c r="C82" i="3" s="1" a="1"/>
  <c r="C82" i="3" s="1"/>
  <c r="Z75" i="3"/>
  <c r="C75" i="3" s="1" a="1"/>
  <c r="C75" i="3" s="1"/>
  <c r="Z72" i="3"/>
  <c r="C72" i="3" s="1" a="1"/>
  <c r="C72" i="3" s="1"/>
  <c r="Z74" i="3"/>
  <c r="C74" i="3" s="1" a="1"/>
  <c r="C74" i="3" s="1"/>
  <c r="Z79" i="3"/>
  <c r="C79" i="3" s="1" a="1"/>
  <c r="C79" i="3" s="1"/>
  <c r="Y33" i="3"/>
  <c r="Y34" i="3" s="1"/>
  <c r="C24" i="1" l="1" a="1"/>
  <c r="C24" i="1" s="1"/>
  <c r="C90" i="3" a="1"/>
  <c r="C90" i="3" s="1"/>
  <c r="Z94" i="3"/>
  <c r="P24" i="2" s="1"/>
  <c r="D24" i="1" l="1"/>
  <c r="I3" i="1" s="1"/>
  <c r="I5" i="1"/>
  <c r="Z31" i="3"/>
  <c r="Z17" i="3"/>
  <c r="C17" i="3" s="1"/>
  <c r="Z18" i="3"/>
  <c r="C18" i="3" s="1"/>
  <c r="Z26" i="3"/>
  <c r="Z16" i="3"/>
  <c r="C16" i="3" s="1"/>
  <c r="Z27" i="3"/>
  <c r="Z20" i="3"/>
  <c r="C20" i="3" s="1"/>
  <c r="Z28" i="3"/>
  <c r="Z25" i="3"/>
  <c r="Z23" i="3"/>
  <c r="Z13" i="3"/>
  <c r="C13" i="3" s="1"/>
  <c r="Z14" i="3"/>
  <c r="C14" i="3" s="1"/>
  <c r="Z12" i="3"/>
  <c r="C12" i="3" s="1"/>
  <c r="Z22" i="3"/>
  <c r="Z15" i="3"/>
  <c r="C15" i="3" s="1"/>
  <c r="Z30" i="3"/>
  <c r="Z6" i="3"/>
  <c r="C6" i="3" s="1"/>
  <c r="Z7" i="3"/>
  <c r="C7" i="3" s="1"/>
  <c r="Z19" i="3"/>
  <c r="C19" i="3" s="1"/>
  <c r="Z10" i="3"/>
  <c r="C10" i="3" s="1"/>
  <c r="Z21" i="3"/>
  <c r="C21" i="3" s="1"/>
  <c r="Z8" i="3"/>
  <c r="C8" i="3" s="1"/>
  <c r="Z9" i="3"/>
  <c r="C9" i="3" s="1"/>
  <c r="Z29" i="3"/>
  <c r="Z24" i="3"/>
  <c r="Z11" i="3"/>
  <c r="C11" i="3" s="1"/>
  <c r="Q24" i="2"/>
  <c r="R24" i="2"/>
  <c r="AA94" i="3"/>
  <c r="Z33" i="3" l="1"/>
  <c r="Z34" i="3" s="1"/>
  <c r="AB94" i="3"/>
  <c r="C26" i="3" l="1"/>
  <c r="C28" i="3"/>
  <c r="C25" i="3"/>
  <c r="C22" i="3"/>
  <c r="C31" i="3"/>
  <c r="C29" i="3"/>
  <c r="C30" i="3"/>
  <c r="C23" i="3"/>
  <c r="C24" i="3"/>
  <c r="C2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<sst xmlns="http://schemas.openxmlformats.org/spreadsheetml/2006/main" count="305" uniqueCount="142">
  <si>
    <t>date</t>
  </si>
  <si>
    <t>net_nav</t>
  </si>
  <si>
    <t>shares</t>
  </si>
  <si>
    <t>investor_value</t>
  </si>
  <si>
    <t>Choose investor --&gt;</t>
  </si>
  <si>
    <t>Shonak Khan</t>
  </si>
  <si>
    <t>William Collard</t>
  </si>
  <si>
    <t>Mashooq Nasser</t>
  </si>
  <si>
    <t>Current Equity</t>
  </si>
  <si>
    <t xml:space="preserve">Louis Durance </t>
  </si>
  <si>
    <t>Deposits</t>
  </si>
  <si>
    <t>Alex Grewe</t>
  </si>
  <si>
    <t>Shares</t>
  </si>
  <si>
    <t>Jiani Chen</t>
  </si>
  <si>
    <t>NAV per shares</t>
  </si>
  <si>
    <t>Alasgar Mammedov</t>
  </si>
  <si>
    <t>Alex Kush</t>
  </si>
  <si>
    <t>Pierre-Alexis Maillart</t>
  </si>
  <si>
    <t>Jeroen Cox</t>
  </si>
  <si>
    <t>Tristan Collard</t>
  </si>
  <si>
    <t>Suyash Gyawali</t>
  </si>
  <si>
    <t>Suren Rana</t>
  </si>
  <si>
    <t>Mitch Feij</t>
  </si>
  <si>
    <t>Philipp Dorfner</t>
  </si>
  <si>
    <t>Karina Lau</t>
  </si>
  <si>
    <t>Paolo Shamoon</t>
  </si>
  <si>
    <t>Jeremy Duckert</t>
  </si>
  <si>
    <t>Casper Adam</t>
  </si>
  <si>
    <t>Aman Karim</t>
  </si>
  <si>
    <t>Benjamin Champion</t>
  </si>
  <si>
    <t>Norbert Bruls</t>
  </si>
  <si>
    <t>Gamal Nasser</t>
  </si>
  <si>
    <t>Giovanni Bettanin</t>
  </si>
  <si>
    <t>Annette Bruls</t>
  </si>
  <si>
    <t>Asad Nasser</t>
  </si>
  <si>
    <t>Date</t>
  </si>
  <si>
    <t>Beginning Gross Value</t>
  </si>
  <si>
    <t>Beginning gross NAV</t>
  </si>
  <si>
    <t>Beginning net NAV</t>
  </si>
  <si>
    <t>Realized PnL</t>
  </si>
  <si>
    <t>Cumulative PnL</t>
  </si>
  <si>
    <t>Gross Fund Value EOM</t>
  </si>
  <si>
    <t>Mgmt. Fees</t>
  </si>
  <si>
    <t>Perf. Fees</t>
  </si>
  <si>
    <t>Total fees</t>
  </si>
  <si>
    <t>Cummulative fees</t>
  </si>
  <si>
    <t>fees paid</t>
  </si>
  <si>
    <t>available fees</t>
  </si>
  <si>
    <t>Net Fund Value EOM</t>
  </si>
  <si>
    <t>Gross NAV EOM</t>
  </si>
  <si>
    <t>Net NAV EOM</t>
  </si>
  <si>
    <t>Gross Return</t>
  </si>
  <si>
    <t>Net Return</t>
  </si>
  <si>
    <t>Monthly Summary</t>
  </si>
  <si>
    <t>x</t>
  </si>
  <si>
    <t>Investor Distribution</t>
  </si>
  <si>
    <t>Total</t>
  </si>
  <si>
    <t>Investor Net Deposit</t>
  </si>
  <si>
    <t>Investor Share</t>
  </si>
  <si>
    <t>symbol</t>
  </si>
  <si>
    <t>pnl</t>
  </si>
  <si>
    <t>NIFTY50</t>
  </si>
  <si>
    <t>TSLA 26JAN24 217.5 C</t>
  </si>
  <si>
    <t>TSLA 26JAN24 202.5 P</t>
  </si>
  <si>
    <t>AMD 02FEB24 175 C</t>
  </si>
  <si>
    <t>AMD 02FEB24 190 C</t>
  </si>
  <si>
    <t>SBUX 02FEB24 90 P</t>
  </si>
  <si>
    <t>SBUX 02FEB24 95 P</t>
  </si>
  <si>
    <t>SPY 02FEB24 487.5 C</t>
  </si>
  <si>
    <t>SPY 02FEB24 487.5 P</t>
  </si>
  <si>
    <t>NIFTYBANK</t>
  </si>
  <si>
    <t>MCLJ4</t>
  </si>
  <si>
    <t>ORCL 08MAR24 112 C</t>
  </si>
  <si>
    <t>ORCL 08MAR24 112 P</t>
  </si>
  <si>
    <t>PSNY 15MAR24 2 P</t>
  </si>
  <si>
    <t>GBP.JPY</t>
  </si>
  <si>
    <t>EUR.USD</t>
  </si>
  <si>
    <t>TLTn</t>
  </si>
  <si>
    <t>ZQU4</t>
  </si>
  <si>
    <t>TLT</t>
  </si>
  <si>
    <t>EUR.JPY</t>
  </si>
  <si>
    <t>MCL</t>
  </si>
  <si>
    <t>TLT 17MAY24 88 P</t>
  </si>
  <si>
    <t>TLT 17MAY24 92 P</t>
  </si>
  <si>
    <t>USD.JPY</t>
  </si>
  <si>
    <t>MCLK4</t>
  </si>
  <si>
    <t>ZQM4</t>
  </si>
  <si>
    <t>MCLM4</t>
  </si>
  <si>
    <t>MCLN4</t>
  </si>
  <si>
    <t>IUM24</t>
  </si>
  <si>
    <t>ZNU4</t>
  </si>
  <si>
    <t>ZBU4</t>
  </si>
  <si>
    <t>COPX 21JUN24 46 P</t>
  </si>
  <si>
    <t>ZB 18JUN24 120 P</t>
  </si>
  <si>
    <t>TSLA 09AUG24 195 P</t>
  </si>
  <si>
    <t>TSLA 09AUG24 205 P</t>
  </si>
  <si>
    <t>M6EU4</t>
  </si>
  <si>
    <t>TSLA 09AUG24 215 P</t>
  </si>
  <si>
    <t>ZQX4</t>
  </si>
  <si>
    <t>ZQZ4</t>
  </si>
  <si>
    <t>ZQH5</t>
  </si>
  <si>
    <t>EUR.CAD</t>
  </si>
  <si>
    <t>ZQG5</t>
  </si>
  <si>
    <t>VIX 20NOV24 20 C</t>
  </si>
  <si>
    <t>VIX 20NOV24 24 C</t>
  </si>
  <si>
    <t>TONAZ24</t>
  </si>
  <si>
    <t>SR3Z4</t>
  </si>
  <si>
    <t>1615.T</t>
  </si>
  <si>
    <t>SR3U6</t>
  </si>
  <si>
    <t>ZQU5</t>
  </si>
  <si>
    <t>TLT 17JAN25 94 C</t>
  </si>
  <si>
    <t>TLT 17JAN25 104 C</t>
  </si>
  <si>
    <t>ZQX5</t>
  </si>
  <si>
    <t>USD.CAD</t>
  </si>
  <si>
    <t>912797PB7 4.28346787%</t>
  </si>
  <si>
    <t>912797NC7 4.2911699%</t>
  </si>
  <si>
    <t>TSLA 17APR25 320 C</t>
  </si>
  <si>
    <t>EZA</t>
  </si>
  <si>
    <t>ZB MAY25 113 C</t>
  </si>
  <si>
    <t>ZQZ5</t>
  </si>
  <si>
    <t>ZQM5</t>
  </si>
  <si>
    <t>EUR.GBP</t>
  </si>
  <si>
    <t>ZQM6</t>
  </si>
  <si>
    <t>ZQF6</t>
  </si>
  <si>
    <t>unrealizedPnL</t>
  </si>
  <si>
    <t xml:space="preserve">  </t>
  </si>
  <si>
    <t>IBCID789044754</t>
  </si>
  <si>
    <t>EWZ</t>
  </si>
  <si>
    <t>EMLC</t>
  </si>
  <si>
    <t>HYEM</t>
  </si>
  <si>
    <t>EIDO</t>
  </si>
  <si>
    <t>INDA</t>
  </si>
  <si>
    <t>Symbol</t>
  </si>
  <si>
    <t>Beginning Net Value</t>
  </si>
  <si>
    <t>investor_deposit</t>
  </si>
  <si>
    <t>currency</t>
  </si>
  <si>
    <t>unrealizedPnL_usd</t>
  </si>
  <si>
    <t>gross fund value</t>
  </si>
  <si>
    <t>gross net value</t>
  </si>
  <si>
    <t>unrealized pnl</t>
  </si>
  <si>
    <t>gross nav</t>
  </si>
  <si>
    <t>net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</si>
</sst>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\ * #,##0.00_);_([$€-2]\ * \(#,##0.00\);_([$€-2]\ * &quot;-&quot;??_);_(@_)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b/>
      <sz val="10"/>
      <color theme="1"/>
      <name val="Trebuchet MS"/>
      <family val="2"/>
    </font>
    <font>
      <b/>
      <i/>
      <sz val="10"/>
      <color theme="1"/>
      <name val="Trebuchet MS"/>
      <family val="2"/>
    </font>
    <font>
      <sz val="10"/>
      <color theme="0"/>
      <name val="Trebuchet MS"/>
      <family val="2"/>
    </font>
    <font>
      <sz val="1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1" fillId="0" borderId="0"/>
    <xf numFmtId="9" fontId="1" fillId="0" borderId="0"/>
    <xf numFmtId="0" fontId="5" fillId="0" borderId="0"/>
    <xf numFmtId="0" fontId="5" fillId="2" borderId="1"/>
    <xf numFmtId="44" fontId="5" fillId="0" borderId="0"/>
    <xf numFmtId="9" fontId="5" fillId="0" borderId="0"/>
  </cellStyleXfs>
  <cellXfs count="54">
    <xf numFmtId="0" fontId="0" fillId="0" borderId="0" xfId="0"/>
    <xf numFmtId="0" fontId="2" fillId="0" borderId="0" xfId="0" applyFont="1"/>
    <xf numFmtId="0" fontId="2" fillId="3" borderId="0" xfId="0" applyFont="1" applyFill="1"/>
    <xf numFmtId="0" fontId="3" fillId="0" borderId="0" xfId="0" applyFont="1"/>
    <xf numFmtId="14" fontId="0" fillId="0" borderId="0" xfId="0" applyNumberFormat="1"/>
    <xf numFmtId="44" fontId="0" fillId="0" borderId="0" xfId="1" applyFont="1"/>
    <xf numFmtId="43" fontId="0" fillId="0" borderId="0" xfId="0" applyNumberForma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2" xfId="0" applyFont="1" applyBorder="1" applyAlignment="1">
      <alignment horizontal="left" vertical="top"/>
    </xf>
    <xf numFmtId="2" fontId="0" fillId="0" borderId="0" xfId="0" applyNumberFormat="1"/>
    <xf numFmtId="10" fontId="0" fillId="0" borderId="0" xfId="2" applyNumberFormat="1" applyFont="1"/>
    <xf numFmtId="0" fontId="7" fillId="0" borderId="0" xfId="3" applyFont="1"/>
    <xf numFmtId="17" fontId="7" fillId="0" borderId="0" xfId="3" applyNumberFormat="1" applyFont="1"/>
    <xf numFmtId="0" fontId="8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0" fontId="11" fillId="0" borderId="0" xfId="3" applyFont="1"/>
    <xf numFmtId="0" fontId="12" fillId="0" borderId="3" xfId="4" applyFont="1" applyFill="1" applyBorder="1"/>
    <xf numFmtId="44" fontId="7" fillId="0" borderId="3" xfId="5" applyFont="1" applyBorder="1"/>
    <xf numFmtId="0" fontId="12" fillId="0" borderId="4" xfId="4" applyFont="1" applyFill="1" applyBorder="1"/>
    <xf numFmtId="0" fontId="9" fillId="4" borderId="5" xfId="3" applyFont="1" applyFill="1" applyBorder="1"/>
    <xf numFmtId="0" fontId="12" fillId="0" borderId="0" xfId="4" applyFont="1" applyFill="1" applyBorder="1"/>
    <xf numFmtId="164" fontId="7" fillId="0" borderId="0" xfId="5" applyNumberFormat="1" applyFont="1"/>
    <xf numFmtId="44" fontId="7" fillId="0" borderId="0" xfId="5" applyFont="1"/>
    <xf numFmtId="164" fontId="7" fillId="0" borderId="0" xfId="3" applyNumberFormat="1" applyFont="1"/>
    <xf numFmtId="0" fontId="11" fillId="0" borderId="0" xfId="3" applyFont="1" applyAlignment="1">
      <alignment horizontal="center"/>
    </xf>
    <xf numFmtId="10" fontId="7" fillId="0" borderId="3" xfId="6" applyNumberFormat="1" applyFont="1" applyBorder="1"/>
    <xf numFmtId="2" fontId="7" fillId="0" borderId="3" xfId="6" applyNumberFormat="1" applyFont="1" applyBorder="1"/>
    <xf numFmtId="0" fontId="6" fillId="0" borderId="0" xfId="3" applyFont="1" applyAlignment="1">
      <alignment horizontal="center" vertical="center"/>
    </xf>
    <xf numFmtId="0" fontId="7" fillId="0" borderId="0" xfId="3" applyFont="1"/>
    <xf numFmtId="0" fontId="11" fillId="0" borderId="0" xfId="3" applyFont="1"/>
    <xf numFmtId="44" fontId="12" fillId="0" borderId="8" xfId="4" applyNumberFormat="1" applyFont="1" applyFill="1" applyBorder="1"/>
    <xf numFmtId="44" fontId="7" fillId="0" borderId="8" xfId="6" applyNumberFormat="1" applyFont="1" applyBorder="1"/>
    <xf numFmtId="44" fontId="7" fillId="0" borderId="3" xfId="6" applyNumberFormat="1" applyFont="1" applyBorder="1"/>
    <xf numFmtId="44" fontId="9" fillId="4" borderId="6" xfId="3" applyNumberFormat="1" applyFont="1" applyFill="1" applyBorder="1"/>
    <xf numFmtId="44" fontId="9" fillId="4" borderId="6" xfId="6" applyNumberFormat="1" applyFont="1" applyFill="1" applyBorder="1"/>
    <xf numFmtId="2" fontId="9" fillId="4" borderId="6" xfId="3" applyNumberFormat="1" applyFont="1" applyFill="1" applyBorder="1"/>
    <xf numFmtId="2" fontId="9" fillId="4" borderId="6" xfId="6" applyNumberFormat="1" applyFont="1" applyFill="1" applyBorder="1"/>
    <xf numFmtId="2" fontId="9" fillId="4" borderId="9" xfId="6" applyNumberFormat="1" applyFont="1" applyFill="1" applyBorder="1"/>
    <xf numFmtId="44" fontId="12" fillId="0" borderId="3" xfId="4" applyNumberFormat="1" applyFont="1" applyFill="1" applyBorder="1"/>
    <xf numFmtId="44" fontId="7" fillId="0" borderId="3" xfId="5" applyNumberFormat="1" applyFont="1" applyBorder="1"/>
    <xf numFmtId="44" fontId="7" fillId="0" borderId="4" xfId="5" applyNumberFormat="1" applyFont="1" applyBorder="1"/>
    <xf numFmtId="44" fontId="12" fillId="0" borderId="4" xfId="4" applyNumberFormat="1" applyFont="1" applyFill="1" applyBorder="1"/>
    <xf numFmtId="44" fontId="7" fillId="4" borderId="7" xfId="5" applyNumberFormat="1" applyFont="1" applyFill="1" applyBorder="1"/>
    <xf numFmtId="44" fontId="0" fillId="0" borderId="0" xfId="0" applyNumberFormat="1"/>
    <xf numFmtId="2" fontId="12" fillId="0" borderId="3" xfId="4" applyNumberFormat="1" applyFont="1" applyFill="1" applyBorder="1"/>
    <xf numFmtId="44" fontId="1" fillId="0" borderId="0" xfId="1"/>
    <xf numFmtId="0" fontId="0" fillId="0" borderId="0" xfId="0" applyNumberFormat="1"/>
  </cellXfs>
  <cellStyles count="7">
    <cellStyle name="Currency" xfId="1" builtinId="4"/>
    <cellStyle name="Currency 2" xfId="5" xr:uid="{00000000-0005-0000-0000-000005000000}"/>
    <cellStyle name="Normal" xfId="0" builtinId="0"/>
    <cellStyle name="Normal 2" xfId="3" xr:uid="{00000000-0005-0000-0000-000003000000}"/>
    <cellStyle name="Note 2" xfId="4" xr:uid="{00000000-0005-0000-0000-000004000000}"/>
    <cellStyle name="Percent" xfId="2" builtinId="5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C22" sqref="C22"/>
    </sheetView>
  </sheetViews>
  <sheetFormatPr defaultRowHeight="15" x14ac:dyDescent="0.25"/>
  <cols>
    <col min="1" max="1" width="9.7109375" bestFit="1" customWidth="1"/>
    <col min="4" max="4" width="14.85546875" customWidth="1"/>
    <col min="5" max="5" width="16.140625" bestFit="1" customWidth="1"/>
    <col min="9" max="9" width="16.7109375" customWidth="1"/>
    <col min="10" max="10" width="20.140625" style="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134</v>
      </c>
      <c r="G1" s="2" t="s">
        <v>4</v>
      </c>
      <c r="I1" t="s">
        <v>5</v>
      </c>
      <c r="J1" s="3" t="s">
        <v>6</v>
      </c>
    </row>
    <row r="2" spans="1:10" x14ac:dyDescent="0.25">
      <c r="A2" s="4">
        <v>45292</v>
      </c>
      <c r="B2" s="14">
        <f>_xlfn.XLOOKUP(A2,'Fund Management'!A:A,'Fund Management'!E:E)</f>
        <v>100</v>
      </c>
      <c r="C2" s="14" cm="1">
        <f t="array" ref="C2">_xlfn.XLOOKUP($I$1,'Client Management'!$B$67:$B$92,_xlfn.XLOOKUP(A2,'Client Management'!$D$3:$AB$3,'Client Management'!$D$67:$AB$92))</f>
        <v>0</v>
      </c>
      <c r="D2" s="50">
        <f t="shared" ref="D2:D26" si="0">B2*C2</f>
        <v>0</v>
      </c>
      <c r="E2" s="52" cm="1">
        <f t="array" ref="E2">_xlfn.XLOOKUP($I$1,'Client Management'!$B$37:$B$62,_xlfn.XLOOKUP(A2,'Client Management'!$D$3:$AB$3,'Client Management'!$D$37:$AB$62))</f>
        <v>0</v>
      </c>
      <c r="J2" s="3" t="s">
        <v>7</v>
      </c>
    </row>
    <row r="3" spans="1:10" x14ac:dyDescent="0.25">
      <c r="A3" s="4">
        <v>45323</v>
      </c>
      <c r="B3" s="14">
        <f>_xlfn.XLOOKUP(A3,'Fund Management'!A:A,'Fund Management'!E:E)</f>
        <v>112.96768645725771</v>
      </c>
      <c r="C3" s="14" cm="1">
        <f t="array" ref="C3">_xlfn.XLOOKUP($I$1,'Client Management'!$B$67:$B$92,_xlfn.XLOOKUP(A3,'Client Management'!$D$3:$AB$3,'Client Management'!$D$67:$AB$92))</f>
        <v>0</v>
      </c>
      <c r="D3" s="50">
        <f t="shared" si="0"/>
        <v>0</v>
      </c>
      <c r="E3" s="52" cm="1">
        <f t="array" ref="E3">_xlfn.XLOOKUP($I$1,'Client Management'!$B$37:$B$62,_xlfn.XLOOKUP(A3,'Client Management'!$D$3:$AB$3,'Client Management'!$D$37:$AB$62))</f>
        <v>0</v>
      </c>
      <c r="G3" t="s">
        <v>8</v>
      </c>
      <c r="I3" s="5">
        <f t="array" ref="I3">LOOKUP(2,1/(D:D&lt;&gt;""),D:D)</f>
        <v>141.45797255926075</v>
      </c>
      <c r="J3" s="3" t="s">
        <v>9</v>
      </c>
    </row>
    <row r="4" spans="1:10" x14ac:dyDescent="0.25">
      <c r="A4" s="4">
        <v>45352</v>
      </c>
      <c r="B4" s="14">
        <f>_xlfn.XLOOKUP(A4,'Fund Management'!A:A,'Fund Management'!E:E)</f>
        <v>114.21719900105464</v>
      </c>
      <c r="C4" s="14" cm="1">
        <f t="array" ref="C4">_xlfn.XLOOKUP($I$1,'Client Management'!$B$67:$B$92,_xlfn.XLOOKUP(A4,'Client Management'!$D$3:$AB$3,'Client Management'!$D$67:$AB$92))</f>
        <v>0</v>
      </c>
      <c r="D4" s="50">
        <f t="shared" si="0"/>
        <v>0</v>
      </c>
      <c r="E4" s="52" cm="1">
        <f t="array" ref="E4">_xlfn.XLOOKUP($I$1,'Client Management'!$B$37:$B$62,_xlfn.XLOOKUP(A4,'Client Management'!$D$3:$AB$3,'Client Management'!$D$37:$AB$62))</f>
        <v>0</v>
      </c>
      <c r="G4" t="s">
        <v>10</v>
      </c>
      <c r="I4" s="5">
        <f>SUM(E:E)</f>
        <v>-1162.55</v>
      </c>
      <c r="J4" s="3" t="s">
        <v>11</v>
      </c>
    </row>
    <row r="5" spans="1:10" x14ac:dyDescent="0.25">
      <c r="A5" s="4">
        <v>45383</v>
      </c>
      <c r="B5" s="14">
        <f>_xlfn.XLOOKUP(A5,'Fund Management'!A:A,'Fund Management'!E:E)</f>
        <v>107.59832387222292</v>
      </c>
      <c r="C5" s="14" cm="1">
        <f t="array" ref="C5">_xlfn.XLOOKUP($I$1,'Client Management'!$B$67:$B$92,_xlfn.XLOOKUP(A5,'Client Management'!$D$3:$AB$3,'Client Management'!$D$67:$AB$92))</f>
        <v>4.9949662844027412</v>
      </c>
      <c r="D5" s="50">
        <f t="shared" si="0"/>
        <v>537.45000000000005</v>
      </c>
      <c r="E5" s="52" cm="1">
        <f t="array" ref="E5">_xlfn.XLOOKUP($I$1,'Client Management'!$B$37:$B$62,_xlfn.XLOOKUP(A5,'Client Management'!$D$3:$AB$3,'Client Management'!$D$37:$AB$62))</f>
        <v>537.45000000000005</v>
      </c>
      <c r="G5" t="s">
        <v>12</v>
      </c>
      <c r="I5" s="6">
        <f t="array" ref="I5">LOOKUP(2,1/(C:C&lt;&gt;""),C:C)</f>
        <v>0.38370563657853829</v>
      </c>
      <c r="J5" s="3" t="s">
        <v>13</v>
      </c>
    </row>
    <row r="6" spans="1:10" x14ac:dyDescent="0.25">
      <c r="A6" s="4">
        <v>45413</v>
      </c>
      <c r="B6" s="14">
        <f>_xlfn.XLOOKUP(A6,'Fund Management'!A:A,'Fund Management'!E:E)</f>
        <v>84.447889691089301</v>
      </c>
      <c r="C6" s="14" cm="1">
        <f t="array" ref="C6">_xlfn.XLOOKUP($I$1,'Client Management'!$B$67:$B$92,_xlfn.XLOOKUP(A6,'Client Management'!$D$3:$AB$3,'Client Management'!$D$67:$AB$92))</f>
        <v>4.9949662844027412</v>
      </c>
      <c r="D6" s="50">
        <f t="shared" si="0"/>
        <v>421.81436179595289</v>
      </c>
      <c r="E6" s="52" cm="1">
        <f t="array" ref="E6">_xlfn.XLOOKUP($I$1,'Client Management'!$B$37:$B$62,_xlfn.XLOOKUP(A6,'Client Management'!$D$3:$AB$3,'Client Management'!$D$37:$AB$62))</f>
        <v>0</v>
      </c>
      <c r="G6" t="s">
        <v>14</v>
      </c>
      <c r="I6" s="5">
        <f t="array" ref="I6">LOOKUP(2,1/(B:B&lt;&gt;""),B:B)</f>
        <v>368.66274319195884</v>
      </c>
      <c r="J6" s="3" t="s">
        <v>15</v>
      </c>
    </row>
    <row r="7" spans="1:10" x14ac:dyDescent="0.25">
      <c r="A7" s="4">
        <v>45444</v>
      </c>
      <c r="B7" s="14">
        <f>_xlfn.XLOOKUP(A7,'Fund Management'!A:A,'Fund Management'!E:E)</f>
        <v>77.57134274665458</v>
      </c>
      <c r="C7" s="14" cm="1">
        <f t="array" ref="C7">_xlfn.XLOOKUP($I$1,'Client Management'!$B$67:$B$92,_xlfn.XLOOKUP(A7,'Client Management'!$D$3:$AB$3,'Client Management'!$D$67:$AB$92))</f>
        <v>4.9949662844027412</v>
      </c>
      <c r="D7" s="50">
        <f t="shared" si="0"/>
        <v>387.46624165538873</v>
      </c>
      <c r="E7" s="52" cm="1">
        <f t="array" ref="E7">_xlfn.XLOOKUP($I$1,'Client Management'!$B$37:$B$62,_xlfn.XLOOKUP(A7,'Client Management'!$D$3:$AB$3,'Client Management'!$D$37:$AB$62))</f>
        <v>0</v>
      </c>
      <c r="J7" s="3" t="s">
        <v>16</v>
      </c>
    </row>
    <row r="8" spans="1:10" x14ac:dyDescent="0.25">
      <c r="A8" s="4">
        <v>45474</v>
      </c>
      <c r="B8" s="14">
        <f>_xlfn.XLOOKUP(A8,'Fund Management'!A:A,'Fund Management'!E:E)</f>
        <v>79.742495641777481</v>
      </c>
      <c r="C8" s="14" cm="1">
        <f t="array" ref="C8">_xlfn.XLOOKUP($I$1,'Client Management'!$B$67:$B$92,_xlfn.XLOOKUP(A8,'Client Management'!$D$3:$AB$3,'Client Management'!$D$67:$AB$92))</f>
        <v>4.9949662844027412</v>
      </c>
      <c r="D8" s="50">
        <f t="shared" si="0"/>
        <v>398.31107716481102</v>
      </c>
      <c r="E8" s="52" cm="1">
        <f t="array" ref="E8">_xlfn.XLOOKUP($I$1,'Client Management'!$B$37:$B$62,_xlfn.XLOOKUP(A8,'Client Management'!$D$3:$AB$3,'Client Management'!$D$37:$AB$62))</f>
        <v>0</v>
      </c>
      <c r="J8" s="3" t="s">
        <v>17</v>
      </c>
    </row>
    <row r="9" spans="1:10" x14ac:dyDescent="0.25">
      <c r="A9" s="4">
        <v>45505</v>
      </c>
      <c r="B9" s="14">
        <f>_xlfn.XLOOKUP(A9,'Fund Management'!A:A,'Fund Management'!E:E)</f>
        <v>80.778785381944246</v>
      </c>
      <c r="C9" s="14" cm="1">
        <f t="array" ref="C9">_xlfn.XLOOKUP($I$1,'Client Management'!$B$67:$B$92,_xlfn.XLOOKUP(A9,'Client Management'!$D$3:$AB$3,'Client Management'!$D$67:$AB$92))</f>
        <v>4.9949662844027412</v>
      </c>
      <c r="D9" s="50">
        <f t="shared" si="0"/>
        <v>403.4873094778165</v>
      </c>
      <c r="E9" s="52" cm="1">
        <f t="array" ref="E9">_xlfn.XLOOKUP($I$1,'Client Management'!$B$37:$B$62,_xlfn.XLOOKUP(A9,'Client Management'!$D$3:$AB$3,'Client Management'!$D$37:$AB$62))</f>
        <v>0</v>
      </c>
      <c r="J9" s="3" t="s">
        <v>18</v>
      </c>
    </row>
    <row r="10" spans="1:10" x14ac:dyDescent="0.25">
      <c r="A10" s="4">
        <v>45536</v>
      </c>
      <c r="B10" s="14">
        <f>_xlfn.XLOOKUP(A10,'Fund Management'!A:A,'Fund Management'!E:E)</f>
        <v>84.173435347810951</v>
      </c>
      <c r="C10" s="14" cm="1">
        <f t="array" ref="C10">_xlfn.XLOOKUP($I$1,'Client Management'!$B$67:$B$92,_xlfn.XLOOKUP(A10,'Client Management'!$D$3:$AB$3,'Client Management'!$D$67:$AB$92))</f>
        <v>4.9949662844027412</v>
      </c>
      <c r="D10" s="50">
        <f t="shared" si="0"/>
        <v>420.44347160466964</v>
      </c>
      <c r="E10" s="52" cm="1">
        <f t="array" ref="E10">_xlfn.XLOOKUP($I$1,'Client Management'!$B$37:$B$62,_xlfn.XLOOKUP(A10,'Client Management'!$D$3:$AB$3,'Client Management'!$D$37:$AB$62))</f>
        <v>0</v>
      </c>
      <c r="J10" s="3" t="s">
        <v>19</v>
      </c>
    </row>
    <row r="11" spans="1:10" x14ac:dyDescent="0.25">
      <c r="A11" s="4">
        <v>45566</v>
      </c>
      <c r="B11" s="14">
        <f>_xlfn.XLOOKUP(A11,'Fund Management'!A:A,'Fund Management'!E:E)</f>
        <v>78.514278189922763</v>
      </c>
      <c r="C11" s="14" cm="1">
        <f t="array" ref="C11">_xlfn.XLOOKUP($I$1,'Client Management'!$B$67:$B$92,_xlfn.XLOOKUP(A11,'Client Management'!$D$3:$AB$3,'Client Management'!$D$67:$AB$92))</f>
        <v>4.9949662844027412</v>
      </c>
      <c r="D11" s="50">
        <f t="shared" si="0"/>
        <v>392.17617240288166</v>
      </c>
      <c r="E11" s="52" cm="1">
        <f t="array" ref="E11">_xlfn.XLOOKUP($I$1,'Client Management'!$B$37:$B$62,_xlfn.XLOOKUP(A11,'Client Management'!$D$3:$AB$3,'Client Management'!$D$37:$AB$62))</f>
        <v>0</v>
      </c>
      <c r="J11" s="3" t="s">
        <v>20</v>
      </c>
    </row>
    <row r="12" spans="1:10" x14ac:dyDescent="0.25">
      <c r="A12" s="4">
        <v>45597</v>
      </c>
      <c r="B12" s="14">
        <f>_xlfn.XLOOKUP(A12,'Fund Management'!A:A,'Fund Management'!E:E)</f>
        <v>124.59079365189811</v>
      </c>
      <c r="C12" s="14" cm="1">
        <f t="array" ref="C12">_xlfn.XLOOKUP($I$1,'Client Management'!$B$67:$B$92,_xlfn.XLOOKUP(A12,'Client Management'!$D$3:$AB$3,'Client Management'!$D$67:$AB$92))</f>
        <v>4.9949662844027412</v>
      </c>
      <c r="D12" s="50">
        <f t="shared" si="0"/>
        <v>622.32681363821018</v>
      </c>
      <c r="E12" s="52" cm="1">
        <f t="array" ref="E12">_xlfn.XLOOKUP($I$1,'Client Management'!$B$37:$B$62,_xlfn.XLOOKUP(A12,'Client Management'!$D$3:$AB$3,'Client Management'!$D$37:$AB$62))</f>
        <v>0</v>
      </c>
      <c r="J12" s="3" t="s">
        <v>21</v>
      </c>
    </row>
    <row r="13" spans="1:10" x14ac:dyDescent="0.25">
      <c r="A13" s="4">
        <v>45627</v>
      </c>
      <c r="B13" s="14">
        <f>_xlfn.XLOOKUP(A13,'Fund Management'!A:A,'Fund Management'!E:E)</f>
        <v>125.34943148343113</v>
      </c>
      <c r="C13" s="14" cm="1">
        <f t="array" ref="C13">_xlfn.XLOOKUP($I$1,'Client Management'!$B$67:$B$92,_xlfn.XLOOKUP(A13,'Client Management'!$D$3:$AB$3,'Client Management'!$D$67:$AB$92))</f>
        <v>4.9949662844027412</v>
      </c>
      <c r="D13" s="50">
        <f t="shared" si="0"/>
        <v>626.11618402879003</v>
      </c>
      <c r="E13" s="52" cm="1">
        <f t="array" ref="E13">_xlfn.XLOOKUP($I$1,'Client Management'!$B$37:$B$62,_xlfn.XLOOKUP(A13,'Client Management'!$D$3:$AB$3,'Client Management'!$D$37:$AB$62))</f>
        <v>0</v>
      </c>
      <c r="J13" s="3" t="s">
        <v>22</v>
      </c>
    </row>
    <row r="14" spans="1:10" x14ac:dyDescent="0.25">
      <c r="A14" s="4">
        <v>45658</v>
      </c>
      <c r="B14" s="14">
        <f>_xlfn.XLOOKUP(A14,'Fund Management'!A:A,'Fund Management'!E:E)</f>
        <v>129.91484871253772</v>
      </c>
      <c r="C14" s="14" cm="1">
        <f t="array" ref="C14">_xlfn.XLOOKUP($I$1,'Client Management'!$B$67:$B$92,_xlfn.XLOOKUP(A14,'Client Management'!$D$3:$AB$3,'Client Management'!$D$67:$AB$92))</f>
        <v>4.9949662844027412</v>
      </c>
      <c r="D14" s="50">
        <f t="shared" si="0"/>
        <v>648.92028916240872</v>
      </c>
      <c r="E14" s="52" cm="1">
        <f t="array" ref="E14">_xlfn.XLOOKUP($I$1,'Client Management'!$B$37:$B$62,_xlfn.XLOOKUP(A14,'Client Management'!$D$3:$AB$3,'Client Management'!$D$37:$AB$62))</f>
        <v>0</v>
      </c>
      <c r="J14" s="3" t="s">
        <v>23</v>
      </c>
    </row>
    <row r="15" spans="1:10" x14ac:dyDescent="0.25">
      <c r="A15" s="4">
        <v>45689</v>
      </c>
      <c r="B15" s="14">
        <f>_xlfn.XLOOKUP(A15,'Fund Management'!A:A,'Fund Management'!E:E)</f>
        <v>136.47304904733463</v>
      </c>
      <c r="C15" s="14" cm="1">
        <f t="array" ref="C15">_xlfn.XLOOKUP($I$1,'Client Management'!$B$67:$B$92,_xlfn.XLOOKUP(A15,'Client Management'!$D$3:$AB$3,'Client Management'!$D$67:$AB$92))</f>
        <v>4.9949662844027412</v>
      </c>
      <c r="D15" s="50">
        <f t="shared" si="0"/>
        <v>681.67827872107807</v>
      </c>
      <c r="E15" s="52" cm="1">
        <f t="array" ref="E15">_xlfn.XLOOKUP($I$1,'Client Management'!$B$37:$B$62,_xlfn.XLOOKUP(A15,'Client Management'!$D$3:$AB$3,'Client Management'!$D$37:$AB$62))</f>
        <v>0</v>
      </c>
      <c r="J15" s="3" t="s">
        <v>24</v>
      </c>
    </row>
    <row r="16" spans="1:10" x14ac:dyDescent="0.25">
      <c r="A16" s="4">
        <v>45717</v>
      </c>
      <c r="B16" s="14">
        <f>_xlfn.XLOOKUP(A16,'Fund Management'!A:A,'Fund Management'!E:E)</f>
        <v>137.30314183585244</v>
      </c>
      <c r="C16" s="14" cm="1">
        <f t="array" ref="C16">_xlfn.XLOOKUP($I$1,'Client Management'!$B$67:$B$92,_xlfn.XLOOKUP(A16,'Client Management'!$D$3:$AB$3,'Client Management'!$D$67:$AB$92))</f>
        <v>4.9949662844027412</v>
      </c>
      <c r="D16" s="50">
        <f t="shared" si="0"/>
        <v>685.82456421265044</v>
      </c>
      <c r="E16" s="52" cm="1">
        <f t="array" ref="E16">_xlfn.XLOOKUP($I$1,'Client Management'!$B$37:$B$62,_xlfn.XLOOKUP(A16,'Client Management'!$D$3:$AB$3,'Client Management'!$D$37:$AB$62))</f>
        <v>0</v>
      </c>
      <c r="J16" s="3" t="s">
        <v>25</v>
      </c>
    </row>
    <row r="17" spans="1:10" x14ac:dyDescent="0.25">
      <c r="A17" s="4">
        <v>45748</v>
      </c>
      <c r="B17" s="14">
        <f>_xlfn.XLOOKUP(A17,'Fund Management'!A:A,'Fund Management'!E:E)</f>
        <v>147.76029851658978</v>
      </c>
      <c r="C17" s="14" cm="1">
        <f t="array" ref="C17">_xlfn.XLOOKUP($I$1,'Client Management'!$B$67:$B$92,_xlfn.XLOOKUP(A17,'Client Management'!$D$3:$AB$3,'Client Management'!$D$67:$AB$92))</f>
        <v>4.9949662844027412</v>
      </c>
      <c r="D17" s="50">
        <f t="shared" si="0"/>
        <v>738.05770926365039</v>
      </c>
      <c r="E17" s="52" cm="1">
        <f t="array" ref="E17">_xlfn.XLOOKUP($I$1,'Client Management'!$B$37:$B$62,_xlfn.XLOOKUP(A17,'Client Management'!$D$3:$AB$3,'Client Management'!$D$37:$AB$62))</f>
        <v>0</v>
      </c>
      <c r="J17" s="3" t="s">
        <v>26</v>
      </c>
    </row>
    <row r="18" spans="1:10" x14ac:dyDescent="0.25">
      <c r="A18" s="4">
        <v>45778</v>
      </c>
      <c r="B18" s="14">
        <f>_xlfn.XLOOKUP(A18,'Fund Management'!A:A,'Fund Management'!E:E)</f>
        <v>333.70816602537565</v>
      </c>
      <c r="C18" s="14" cm="1">
        <f t="array" ref="C18">_xlfn.XLOOKUP($I$1,'Client Management'!$B$67:$B$92,_xlfn.XLOOKUP(A18,'Client Management'!$D$3:$AB$3,'Client Management'!$D$67:$AB$92))</f>
        <v>4.9949662844027412</v>
      </c>
      <c r="D18" s="50">
        <f t="shared" si="0"/>
        <v>1666.8610381266237</v>
      </c>
      <c r="E18" s="52" cm="1">
        <f t="array" ref="E18">_xlfn.XLOOKUP($I$1,'Client Management'!$B$37:$B$62,_xlfn.XLOOKUP(A18,'Client Management'!$D$3:$AB$3,'Client Management'!$D$37:$AB$62))</f>
        <v>0</v>
      </c>
      <c r="J18" s="3" t="s">
        <v>27</v>
      </c>
    </row>
    <row r="19" spans="1:10" x14ac:dyDescent="0.25">
      <c r="A19" s="4">
        <v>45809</v>
      </c>
      <c r="B19" s="14">
        <f>_xlfn.XLOOKUP(A19,'Fund Management'!A:A,'Fund Management'!E:E)</f>
        <v>333.19282650086416</v>
      </c>
      <c r="C19" s="14" cm="1">
        <f t="array" ref="C19">_xlfn.XLOOKUP($I$1,'Client Management'!$B$67:$B$92,_xlfn.XLOOKUP(A19,'Client Management'!$D$3:$AB$3,'Client Management'!$D$67:$AB$92))</f>
        <v>4.9949662844027412</v>
      </c>
      <c r="D19" s="50">
        <f t="shared" si="0"/>
        <v>1664.2869345766687</v>
      </c>
      <c r="E19" s="52" cm="1">
        <f t="array" ref="E19">_xlfn.XLOOKUP($I$1,'Client Management'!$B$37:$B$62,_xlfn.XLOOKUP(A19,'Client Management'!$D$3:$AB$3,'Client Management'!$D$37:$AB$62))</f>
        <v>0</v>
      </c>
      <c r="J19" s="3" t="s">
        <v>28</v>
      </c>
    </row>
    <row r="20" spans="1:10" x14ac:dyDescent="0.25">
      <c r="A20" s="4">
        <v>45839</v>
      </c>
      <c r="B20" s="14">
        <f>_xlfn.XLOOKUP(A20,'Fund Management'!A:A,'Fund Management'!E:E)</f>
        <v>332.19763874307586</v>
      </c>
      <c r="C20" s="14" cm="1">
        <f t="array" ref="C20">_xlfn.XLOOKUP($I$1,'Client Management'!$B$67:$B$92,_xlfn.XLOOKUP(A20,'Client Management'!$D$3:$AB$3,'Client Management'!$D$67:$AB$92))</f>
        <v>4.9949662844027412</v>
      </c>
      <c r="D20" s="50">
        <f t="shared" si="0"/>
        <v>1659.3160052798657</v>
      </c>
      <c r="E20" s="52" cm="1">
        <f t="array" ref="E20">_xlfn.XLOOKUP($I$1,'Client Management'!$B$37:$B$62,_xlfn.XLOOKUP(A20,'Client Management'!$D$3:$AB$3,'Client Management'!$D$37:$AB$62))</f>
        <v>0</v>
      </c>
      <c r="J20" s="3" t="s">
        <v>29</v>
      </c>
    </row>
    <row r="21" spans="1:10" x14ac:dyDescent="0.25">
      <c r="A21" s="4">
        <v>45870</v>
      </c>
      <c r="B21" s="14">
        <f>_xlfn.XLOOKUP(A21,'Fund Management'!A:A,'Fund Management'!E:E)</f>
        <v>334.07416879968957</v>
      </c>
      <c r="C21" s="14" cm="1">
        <f t="array" ref="C21">_xlfn.XLOOKUP($I$1,'Client Management'!$B$67:$B$92,_xlfn.XLOOKUP(A21,'Client Management'!$D$3:$AB$3,'Client Management'!$D$67:$AB$92))</f>
        <v>4.9949662844027412</v>
      </c>
      <c r="D21" s="50">
        <f t="shared" si="0"/>
        <v>1668.6892096443196</v>
      </c>
      <c r="E21" s="52" cm="1">
        <f t="array" ref="E21">_xlfn.XLOOKUP($I$1,'Client Management'!$B$37:$B$62,_xlfn.XLOOKUP(A21,'Client Management'!$D$3:$AB$3,'Client Management'!$D$37:$AB$62))</f>
        <v>0</v>
      </c>
      <c r="J21" s="3" t="s">
        <v>30</v>
      </c>
    </row>
    <row r="22" spans="1:10" x14ac:dyDescent="0.25">
      <c r="A22" s="4">
        <v>45901</v>
      </c>
      <c r="B22" s="14">
        <f>_xlfn.XLOOKUP(A22,'Fund Management'!A:A,'Fund Management'!E:E)</f>
        <v>370.13617789427002</v>
      </c>
      <c r="C22" s="14" cm="1">
        <f t="array" ref="C22">_xlfn.XLOOKUP($I$1,'Client Management'!$B$67:$B$92,_xlfn.XLOOKUP(A22,'Client Management'!$D$3:$AB$3,'Client Management'!$D$67:$AB$92))</f>
        <v>4.9949662844027412</v>
      </c>
      <c r="D22" s="50">
        <f t="shared" si="0"/>
        <v>1848.8177292195739</v>
      </c>
      <c r="E22" s="52" cm="1">
        <f t="array" ref="E22">_xlfn.XLOOKUP($I$1,'Client Management'!$B$37:$B$62,_xlfn.XLOOKUP(A22,'Client Management'!$D$3:$AB$3,'Client Management'!$D$37:$AB$62))</f>
        <v>0</v>
      </c>
      <c r="J22" s="3" t="s">
        <v>31</v>
      </c>
    </row>
    <row r="23" spans="1:10" x14ac:dyDescent="0.25">
      <c r="A23" s="4">
        <v>45931</v>
      </c>
      <c r="B23" s="14">
        <f>_xlfn.XLOOKUP(A23,'Fund Management'!A:A,'Fund Management'!E:E)</f>
        <v>369.4007953719784</v>
      </c>
      <c r="C23" s="14" cm="1">
        <f t="array" ref="C23">_xlfn.XLOOKUP($I$1,'Client Management'!$B$67:$B$92,_xlfn.XLOOKUP(A23,'Client Management'!$D$3:$AB$3,'Client Management'!$D$67:$AB$92))</f>
        <v>4.9949662844027412</v>
      </c>
      <c r="D23" s="50">
        <f t="shared" si="0"/>
        <v>1845.1445183145884</v>
      </c>
      <c r="E23" s="52" cm="1">
        <f t="array" ref="E23">_xlfn.XLOOKUP($I$1,'Client Management'!$B$37:$B$62,_xlfn.XLOOKUP(A23,'Client Management'!$D$3:$AB$3,'Client Management'!$D$37:$AB$62))</f>
        <v>0</v>
      </c>
      <c r="J23" s="3" t="s">
        <v>32</v>
      </c>
    </row>
    <row r="24" spans="1:10" x14ac:dyDescent="0.25">
      <c r="A24" s="4">
        <v>45962</v>
      </c>
      <c r="B24" s="14">
        <f>_xlfn.XLOOKUP(A24,'Fund Management'!A:A,'Fund Management'!E:E)</f>
        <v>368.66274319195884</v>
      </c>
      <c r="C24" s="14" cm="1">
        <f t="array" ref="C24">_xlfn.XLOOKUP($I$1,'Client Management'!$B$67:$B$92,_xlfn.XLOOKUP(A24,'Client Management'!$D$3:$AB$3,'Client Management'!$D$67:$AB$92))</f>
        <v>0.38370563657853829</v>
      </c>
      <c r="D24" s="50">
        <f t="shared" si="0"/>
        <v>141.45797255926075</v>
      </c>
      <c r="E24" s="52" cm="1">
        <f t="array" ref="E24">_xlfn.XLOOKUP($I$1,'Client Management'!$B$37:$B$62,_xlfn.XLOOKUP(A24,'Client Management'!$D$3:$AB$3,'Client Management'!$D$37:$AB$62))</f>
        <v>-1700</v>
      </c>
      <c r="J24" s="3" t="s">
        <v>5</v>
      </c>
    </row>
    <row r="25" spans="1:10" x14ac:dyDescent="0.25">
      <c r="A25" s="4"/>
      <c r="J25" s="3" t="s">
        <v>33</v>
      </c>
    </row>
    <row r="26" spans="1:10" x14ac:dyDescent="0.25">
      <c r="A26" s="4"/>
      <c r="J26" s="3" t="s">
        <v>34</v>
      </c>
    </row>
  </sheetData>
  <dataValidations disablePrompts="1" count="1">
    <dataValidation type="list" allowBlank="1" showInputMessage="1" showErrorMessage="1" sqref="I1" xr:uid="{00000000-0002-0000-0000-000000000000}">
      <formula1>$J$1:$J$26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workbookViewId="0">
      <selection activeCell="O24" sqref="O24"/>
    </sheetView>
  </sheetViews>
  <sheetFormatPr defaultRowHeight="15" x14ac:dyDescent="0.25"/>
  <cols>
    <col min="1" max="1" width="10.42578125" bestFit="1" customWidth="1"/>
    <col min="2" max="2" width="21.28515625" bestFit="1" customWidth="1"/>
    <col min="3" max="3" width="21.28515625" customWidth="1"/>
    <col min="4" max="4" width="19.85546875" bestFit="1" customWidth="1"/>
    <col min="5" max="5" width="18.140625" bestFit="1" customWidth="1"/>
    <col min="6" max="6" width="12.85546875" bestFit="1" customWidth="1"/>
    <col min="7" max="7" width="15.140625" bestFit="1" customWidth="1"/>
    <col min="8" max="8" width="21.85546875" bestFit="1" customWidth="1"/>
    <col min="9" max="11" width="12.5703125" bestFit="1" customWidth="1"/>
    <col min="12" max="12" width="17.42578125" bestFit="1" customWidth="1"/>
    <col min="14" max="14" width="13.42578125" bestFit="1" customWidth="1"/>
    <col min="15" max="15" width="20" bestFit="1" customWidth="1"/>
    <col min="16" max="16" width="8.42578125" bestFit="1" customWidth="1"/>
    <col min="17" max="17" width="15.5703125" bestFit="1" customWidth="1"/>
    <col min="18" max="18" width="13.85546875" bestFit="1" customWidth="1"/>
    <col min="19" max="19" width="12.7109375" bestFit="1" customWidth="1"/>
    <col min="20" max="20" width="11" bestFit="1" customWidth="1"/>
  </cols>
  <sheetData>
    <row r="1" spans="1:20" ht="15.75" customHeight="1" thickBot="1" x14ac:dyDescent="0.3">
      <c r="A1" s="13" t="s">
        <v>35</v>
      </c>
      <c r="B1" s="13" t="s">
        <v>36</v>
      </c>
      <c r="C1" s="13" t="s">
        <v>133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12</v>
      </c>
      <c r="Q1" s="13" t="s">
        <v>49</v>
      </c>
      <c r="R1" s="13" t="s">
        <v>50</v>
      </c>
      <c r="S1" s="13" t="s">
        <v>51</v>
      </c>
      <c r="T1" s="13" t="s">
        <v>52</v>
      </c>
    </row>
    <row r="2" spans="1:20" ht="15.75" customHeight="1" thickTop="1" x14ac:dyDescent="0.25">
      <c r="A2" s="4">
        <v>45292</v>
      </c>
      <c r="B2" s="50">
        <f>_xlfn.XLOOKUP(A2,'Client Management'!$D$3:$AB$3,'Client Management'!$D$64:$AB$64)</f>
        <v>3001.9400000000014</v>
      </c>
      <c r="C2" s="50">
        <f>B2</f>
        <v>3001.9400000000014</v>
      </c>
      <c r="D2" s="14">
        <v>100</v>
      </c>
      <c r="E2" s="14">
        <v>100</v>
      </c>
      <c r="F2" s="50">
        <f>SUMIFS(Transactions!$C:$C,Transactions!$A:$A,"&gt;="&amp;DATE(YEAR($A2),MONTH($A2),1),Transactions!$A:$A,"&lt;="&amp;EOMONTH($A2,0))</f>
        <v>493.37067800000005</v>
      </c>
      <c r="G2" s="50">
        <f>SUM($F$2:F2)</f>
        <v>493.37067800000005</v>
      </c>
      <c r="H2" s="50">
        <f t="shared" ref="H2:H24" si="0">B2+F2</f>
        <v>3495.3106780000016</v>
      </c>
      <c r="I2" s="50">
        <f t="shared" ref="I2:I24" si="1">(2%/12)*AVERAGE(B2,H2)</f>
        <v>5.4143755650000029</v>
      </c>
      <c r="J2" s="50">
        <f t="shared" ref="J2:J24" si="2">MAX((F2)*20%,0)</f>
        <v>98.674135600000014</v>
      </c>
      <c r="K2" s="50">
        <f>I2+J2</f>
        <v>104.08851116500001</v>
      </c>
      <c r="L2" s="50">
        <f>SUM(K$2:$K2)</f>
        <v>104.08851116500001</v>
      </c>
      <c r="M2" s="50"/>
      <c r="N2" s="50">
        <f>L2-SUM($M$2:M2)</f>
        <v>104.08851116500001</v>
      </c>
      <c r="O2" s="50">
        <f>C2+F2-K2</f>
        <v>3391.2221668350016</v>
      </c>
      <c r="P2" s="14">
        <f>_xlfn.XLOOKUP(A2,'Client Management'!$D$3:$AB$3,'Client Management'!$D$94:$AB$94)</f>
        <v>30.019399999999994</v>
      </c>
      <c r="Q2" s="14">
        <f t="shared" ref="Q2:Q24" si="3">H2/P2</f>
        <v>116.43506126038503</v>
      </c>
      <c r="R2" s="14">
        <f>O2/P2</f>
        <v>112.96768645725771</v>
      </c>
      <c r="S2" s="15">
        <f>H2/B2 -1</f>
        <v>0.16435061260384942</v>
      </c>
      <c r="T2" s="15">
        <f>O2/B2 -1</f>
        <v>0.12967686457257632</v>
      </c>
    </row>
    <row r="3" spans="1:20" x14ac:dyDescent="0.25">
      <c r="A3" s="4">
        <v>45323</v>
      </c>
      <c r="B3" s="50">
        <f>H2+_xlfn.XLOOKUP(A3,'Client Management'!$D$3:$AB$3,'Client Management'!$D$64:$AB$64)</f>
        <v>6934.160678000002</v>
      </c>
      <c r="C3" s="50">
        <f>O2+_xlfn.XLOOKUP(A3,'Client Management'!$D$3:$AB$3,'Client Management'!$D$64:$AB$64)</f>
        <v>6830.0721668350016</v>
      </c>
      <c r="D3" s="14">
        <f t="shared" ref="D3:D24" si="4">Q2</f>
        <v>116.43506126038503</v>
      </c>
      <c r="E3" s="14">
        <f>R2</f>
        <v>112.96768645725771</v>
      </c>
      <c r="F3" s="50">
        <f>SUMIFS(Transactions!$C:$C,Transactions!$A:$A,"&gt;="&amp;DATE(YEAR($A3),MONTH($A3),1),Transactions!$A:$A,"&lt;="&amp;EOMONTH($A3,0))</f>
        <v>108.99224600000002</v>
      </c>
      <c r="G3" s="50">
        <f>SUM($F$2:F3)</f>
        <v>602.36292400000002</v>
      </c>
      <c r="H3" s="50">
        <f>B3+F3</f>
        <v>7043.1529240000018</v>
      </c>
      <c r="I3" s="50">
        <f t="shared" si="1"/>
        <v>11.647761335000004</v>
      </c>
      <c r="J3" s="50">
        <f t="shared" si="2"/>
        <v>21.798449200000007</v>
      </c>
      <c r="K3" s="50">
        <f t="shared" ref="K2:K24" si="5">I3+J3</f>
        <v>33.446210535000013</v>
      </c>
      <c r="L3" s="50">
        <f>SUM(K$2:$K3)</f>
        <v>137.53472170000003</v>
      </c>
      <c r="M3" s="50"/>
      <c r="N3" s="50">
        <f>L3-SUM($M$2:M3)</f>
        <v>137.53472170000003</v>
      </c>
      <c r="O3" s="50">
        <f t="shared" ref="O3:O24" si="6">C3+F3-K3</f>
        <v>6905.618202300001</v>
      </c>
      <c r="P3" s="14">
        <f>_xlfn.XLOOKUP(A3,'Client Management'!$D$3:$AB$3,'Client Management'!$D$94:$AB$94)</f>
        <v>60.460405811879845</v>
      </c>
      <c r="Q3" s="14">
        <f t="shared" si="3"/>
        <v>116.4919889210551</v>
      </c>
      <c r="R3" s="14">
        <f t="shared" ref="R2:R24" si="7">O3/P3</f>
        <v>114.21719900105464</v>
      </c>
      <c r="S3" s="15">
        <f>H3/B3 -1</f>
        <v>1.571815985542413E-2</v>
      </c>
      <c r="T3" s="15">
        <f>O3/B3 -1</f>
        <v>-4.1162120443152261E-3</v>
      </c>
    </row>
    <row r="4" spans="1:20" x14ac:dyDescent="0.25">
      <c r="A4" s="4">
        <v>45352</v>
      </c>
      <c r="B4" s="50">
        <f>H3+_xlfn.XLOOKUP(A4,'Client Management'!$D$3:$AB$3,'Client Management'!$D$64:$AB$64)</f>
        <v>16463.442924000003</v>
      </c>
      <c r="C4" s="50">
        <f>O3+_xlfn.XLOOKUP(A4,'Client Management'!$D$3:$AB$3,'Client Management'!$D$64:$AB$64)</f>
        <v>16325.908202300001</v>
      </c>
      <c r="D4" s="14">
        <f t="shared" si="4"/>
        <v>116.4919889210551</v>
      </c>
      <c r="E4" s="14">
        <f t="shared" ref="E4:E24" si="8">R3</f>
        <v>114.21719900105464</v>
      </c>
      <c r="F4" s="50">
        <f>SUMIFS(Transactions!$C:$C,Transactions!$A:$A,"&gt;="&amp;DATE(YEAR($A4),MONTH($A4),1),Transactions!$A:$A,"&lt;="&amp;EOMONTH($A4,0))</f>
        <v>-919.4118339159578</v>
      </c>
      <c r="G4" s="50">
        <f>SUM($F$2:F4)</f>
        <v>-317.04890991595778</v>
      </c>
      <c r="H4" s="50">
        <f t="shared" ref="H4:H24" si="9">B4+F4</f>
        <v>15544.031090084045</v>
      </c>
      <c r="I4" s="50">
        <f t="shared" si="1"/>
        <v>26.67289501173671</v>
      </c>
      <c r="J4" s="50">
        <f t="shared" si="2"/>
        <v>0</v>
      </c>
      <c r="K4" s="50">
        <f t="shared" si="5"/>
        <v>26.67289501173671</v>
      </c>
      <c r="L4" s="50">
        <f>SUM(K$2:$K4)</f>
        <v>164.20761671173673</v>
      </c>
      <c r="M4" s="50"/>
      <c r="N4" s="50">
        <f>L4-SUM($M$2:M4)</f>
        <v>164.20761671173673</v>
      </c>
      <c r="O4" s="50">
        <f t="shared" si="6"/>
        <v>15379.823473372307</v>
      </c>
      <c r="P4" s="14">
        <f>_xlfn.XLOOKUP(A4,'Client Management'!$D$3:$AB$3,'Client Management'!$D$94:$AB$94)</f>
        <v>142.93738898420415</v>
      </c>
      <c r="Q4" s="14">
        <f t="shared" si="3"/>
        <v>108.74713187745299</v>
      </c>
      <c r="R4" s="14">
        <f t="shared" si="7"/>
        <v>107.59832387222292</v>
      </c>
      <c r="S4" s="15">
        <f>H4/B4 -1</f>
        <v>-5.5845659875654707E-2</v>
      </c>
      <c r="T4" s="15">
        <f>O4/B4 -1</f>
        <v>-6.5819735011078517E-2</v>
      </c>
    </row>
    <row r="5" spans="1:20" x14ac:dyDescent="0.25">
      <c r="A5" s="4">
        <v>45383</v>
      </c>
      <c r="B5" s="50">
        <f>H4+_xlfn.XLOOKUP(A5,'Client Management'!$D$3:$AB$3,'Client Management'!$D$64:$AB$64)</f>
        <v>16081.481090084046</v>
      </c>
      <c r="C5" s="50">
        <f>O4+_xlfn.XLOOKUP(A5,'Client Management'!$D$3:$AB$3,'Client Management'!$D$64:$AB$64)</f>
        <v>15917.273473372308</v>
      </c>
      <c r="D5" s="14">
        <f t="shared" si="4"/>
        <v>108.74713187745299</v>
      </c>
      <c r="E5" s="14">
        <f t="shared" si="8"/>
        <v>107.59832387222292</v>
      </c>
      <c r="F5" s="50">
        <f>SUMIFS(Transactions!$C:$C,Transactions!$A:$A,"&gt;="&amp;DATE(YEAR($A5),MONTH($A5),1),Transactions!$A:$A,"&lt;="&amp;EOMONTH($A5,0))</f>
        <v>-3400.7297268615357</v>
      </c>
      <c r="G5" s="50">
        <f>SUM($F$2:F5)</f>
        <v>-3717.7786367774934</v>
      </c>
      <c r="H5" s="50">
        <f t="shared" si="9"/>
        <v>12680.751363222509</v>
      </c>
      <c r="I5" s="50">
        <f t="shared" si="1"/>
        <v>23.968527044422132</v>
      </c>
      <c r="J5" s="50">
        <f t="shared" si="2"/>
        <v>0</v>
      </c>
      <c r="K5" s="50">
        <f t="shared" si="5"/>
        <v>23.968527044422132</v>
      </c>
      <c r="L5" s="50">
        <f>SUM(K$2:$K5)</f>
        <v>188.17614375615887</v>
      </c>
      <c r="M5" s="50"/>
      <c r="N5" s="50">
        <f>L5-SUM($M$2:M5)</f>
        <v>188.17614375615887</v>
      </c>
      <c r="O5" s="50">
        <f t="shared" si="6"/>
        <v>12492.575219466349</v>
      </c>
      <c r="P5" s="14">
        <f>_xlfn.XLOOKUP(A5,'Client Management'!$D$3:$AB$3,'Client Management'!$D$94:$AB$94)</f>
        <v>147.9323552686069</v>
      </c>
      <c r="Q5" s="14">
        <f t="shared" si="3"/>
        <v>85.719931520035246</v>
      </c>
      <c r="R5" s="14">
        <f t="shared" si="7"/>
        <v>84.447889691089301</v>
      </c>
      <c r="S5" s="15">
        <f>H5/B5 -1</f>
        <v>-0.21146868922156992</v>
      </c>
      <c r="T5" s="15">
        <f>O5/B5 -1</f>
        <v>-0.22317010793431469</v>
      </c>
    </row>
    <row r="6" spans="1:20" x14ac:dyDescent="0.25">
      <c r="A6" s="4">
        <v>45413</v>
      </c>
      <c r="B6" s="50">
        <f>H5+_xlfn.XLOOKUP(A6,'Client Management'!$D$3:$AB$3,'Client Management'!$D$64:$AB$64)</f>
        <v>12680.751363222509</v>
      </c>
      <c r="C6" s="50">
        <f>O5+_xlfn.XLOOKUP(A6,'Client Management'!$D$3:$AB$3,'Client Management'!$D$64:$AB$64)</f>
        <v>12492.575219466349</v>
      </c>
      <c r="D6" s="14">
        <f t="shared" si="4"/>
        <v>85.719931520035246</v>
      </c>
      <c r="E6" s="14">
        <f t="shared" si="8"/>
        <v>84.447889691089301</v>
      </c>
      <c r="F6" s="50">
        <f>SUMIFS(Transactions!$C:$C,Transactions!$A:$A,"&gt;="&amp;DATE(YEAR($A6),MONTH($A6),1),Transactions!$A:$A,"&lt;="&amp;EOMONTH($A6,0))</f>
        <v>-996.96</v>
      </c>
      <c r="G6" s="50">
        <f>SUM($F$2:F6)</f>
        <v>-4714.7386367774934</v>
      </c>
      <c r="H6" s="50">
        <f t="shared" si="9"/>
        <v>11683.79136322251</v>
      </c>
      <c r="I6" s="50">
        <f t="shared" si="1"/>
        <v>20.303785605370852</v>
      </c>
      <c r="J6" s="50">
        <f t="shared" si="2"/>
        <v>0</v>
      </c>
      <c r="K6" s="50">
        <f t="shared" si="5"/>
        <v>20.303785605370852</v>
      </c>
      <c r="L6" s="50">
        <f>SUM(K$2:$K6)</f>
        <v>208.47992936152971</v>
      </c>
      <c r="M6" s="50"/>
      <c r="N6" s="50">
        <f>L6-SUM($M$2:M6)</f>
        <v>208.47992936152971</v>
      </c>
      <c r="O6" s="50">
        <f t="shared" si="6"/>
        <v>11475.311433860978</v>
      </c>
      <c r="P6" s="14">
        <f>_xlfn.XLOOKUP(A6,'Client Management'!$D$3:$AB$3,'Client Management'!$D$94:$AB$94)</f>
        <v>147.9323552686069</v>
      </c>
      <c r="Q6" s="14">
        <f t="shared" si="3"/>
        <v>78.98063504774035</v>
      </c>
      <c r="R6" s="14">
        <f t="shared" si="7"/>
        <v>77.57134274665458</v>
      </c>
      <c r="S6" s="15">
        <f>H6/B6 -1</f>
        <v>-7.8619946992371736E-2</v>
      </c>
      <c r="T6" s="15">
        <f>O6/B6 -1</f>
        <v>-9.5060607595983782E-2</v>
      </c>
    </row>
    <row r="7" spans="1:20" x14ac:dyDescent="0.25">
      <c r="A7" s="4">
        <v>45444</v>
      </c>
      <c r="B7" s="50">
        <f>H6+_xlfn.XLOOKUP(A7,'Client Management'!$D$3:$AB$3,'Client Management'!$D$64:$AB$64)</f>
        <v>13310.091363222509</v>
      </c>
      <c r="C7" s="50">
        <f>O6+_xlfn.XLOOKUP(A7,'Client Management'!$D$3:$AB$3,'Client Management'!$D$64:$AB$64)</f>
        <v>13101.611433860977</v>
      </c>
      <c r="D7" s="14">
        <f t="shared" si="4"/>
        <v>78.98063504774035</v>
      </c>
      <c r="E7" s="14">
        <f t="shared" si="8"/>
        <v>77.57134274665458</v>
      </c>
      <c r="F7" s="50">
        <f>SUMIFS(Transactions!$C:$C,Transactions!$A:$A,"&gt;="&amp;DATE(YEAR($A7),MONTH($A7),1),Transactions!$A:$A,"&lt;="&amp;EOMONTH($A7,0))</f>
        <v>486.61431200000004</v>
      </c>
      <c r="G7" s="50">
        <f>SUM($F$2:F7)</f>
        <v>-4228.1243247774937</v>
      </c>
      <c r="H7" s="50">
        <f t="shared" si="9"/>
        <v>13796.705675222509</v>
      </c>
      <c r="I7" s="50">
        <f t="shared" si="1"/>
        <v>22.588997532037514</v>
      </c>
      <c r="J7" s="50">
        <f t="shared" si="2"/>
        <v>97.32286240000002</v>
      </c>
      <c r="K7" s="50">
        <f t="shared" si="5"/>
        <v>119.91185993203753</v>
      </c>
      <c r="L7" s="50">
        <f>SUM(K$2:$K7)</f>
        <v>328.39178929356723</v>
      </c>
      <c r="M7" s="50"/>
      <c r="N7" s="50">
        <f>L7-SUM($M$2:M7)</f>
        <v>328.39178929356723</v>
      </c>
      <c r="O7" s="50">
        <f t="shared" si="6"/>
        <v>13468.313885928939</v>
      </c>
      <c r="P7" s="14">
        <f>_xlfn.XLOOKUP(A7,'Client Management'!$D$3:$AB$3,'Client Management'!$D$94:$AB$94)</f>
        <v>168.89757183461944</v>
      </c>
      <c r="Q7" s="14">
        <f t="shared" si="3"/>
        <v>81.686820747973343</v>
      </c>
      <c r="R7" s="14">
        <f t="shared" si="7"/>
        <v>79.742495641777481</v>
      </c>
      <c r="S7" s="15">
        <f>H7/B7 -1</f>
        <v>3.6559802537838193E-2</v>
      </c>
      <c r="T7" s="15">
        <f>O7/B7 -1</f>
        <v>1.1887410716324487E-2</v>
      </c>
    </row>
    <row r="8" spans="1:20" x14ac:dyDescent="0.25">
      <c r="A8" s="4">
        <v>45474</v>
      </c>
      <c r="B8" s="50">
        <f>H7+_xlfn.XLOOKUP(A8,'Client Management'!$D$3:$AB$3,'Client Management'!$D$64:$AB$64)</f>
        <v>13796.705675222509</v>
      </c>
      <c r="C8" s="50">
        <f>O7+_xlfn.XLOOKUP(A8,'Client Management'!$D$3:$AB$3,'Client Management'!$D$64:$AB$64)</f>
        <v>13468.313885928939</v>
      </c>
      <c r="D8" s="14">
        <f t="shared" si="4"/>
        <v>81.686820747973343</v>
      </c>
      <c r="E8" s="14">
        <f t="shared" si="8"/>
        <v>79.742495641777481</v>
      </c>
      <c r="F8" s="50">
        <f>SUMIFS(Transactions!$C:$C,Transactions!$A:$A,"&gt;="&amp;DATE(YEAR($A8),MONTH($A8),1),Transactions!$A:$A,"&lt;="&amp;EOMONTH($A8,0))</f>
        <v>247.78477199999998</v>
      </c>
      <c r="G8" s="50">
        <f>SUM($F$2:F8)</f>
        <v>-3980.3395527774937</v>
      </c>
      <c r="H8" s="50">
        <f t="shared" si="9"/>
        <v>14044.49044722251</v>
      </c>
      <c r="I8" s="50">
        <f t="shared" si="1"/>
        <v>23.200996768704186</v>
      </c>
      <c r="J8" s="50">
        <f t="shared" si="2"/>
        <v>49.556954399999995</v>
      </c>
      <c r="K8" s="50">
        <f t="shared" si="5"/>
        <v>72.757951168704182</v>
      </c>
      <c r="L8" s="50">
        <f>SUM(K$2:$K8)</f>
        <v>401.14974046227144</v>
      </c>
      <c r="M8" s="50"/>
      <c r="N8" s="50">
        <f>L8-SUM($M$2:M8)</f>
        <v>401.14974046227144</v>
      </c>
      <c r="O8" s="50">
        <f t="shared" si="6"/>
        <v>13643.340706760235</v>
      </c>
      <c r="P8" s="14">
        <f>_xlfn.XLOOKUP(A8,'Client Management'!$D$3:$AB$3,'Client Management'!$D$94:$AB$94)</f>
        <v>168.89757183461944</v>
      </c>
      <c r="Q8" s="14">
        <f t="shared" si="3"/>
        <v>83.153891998959864</v>
      </c>
      <c r="R8" s="14">
        <f t="shared" si="7"/>
        <v>80.778785381944246</v>
      </c>
      <c r="S8" s="15">
        <f>H8/B8 -1</f>
        <v>1.7959705587182073E-2</v>
      </c>
      <c r="T8" s="15">
        <f>O8/B8 -1</f>
        <v>-1.1116057127876666E-2</v>
      </c>
    </row>
    <row r="9" spans="1:20" x14ac:dyDescent="0.25">
      <c r="A9" s="4">
        <v>45505</v>
      </c>
      <c r="B9" s="50">
        <f>H8+_xlfn.XLOOKUP(A9,'Client Management'!$D$3:$AB$3,'Client Management'!$D$64:$AB$64)</f>
        <v>14044.49044722251</v>
      </c>
      <c r="C9" s="50">
        <f>O8+_xlfn.XLOOKUP(A9,'Client Management'!$D$3:$AB$3,'Client Management'!$D$64:$AB$64)</f>
        <v>13643.340706760235</v>
      </c>
      <c r="D9" s="14">
        <f t="shared" si="4"/>
        <v>83.153891998959864</v>
      </c>
      <c r="E9" s="14">
        <f t="shared" si="8"/>
        <v>80.778785381944246</v>
      </c>
      <c r="F9" s="50">
        <f>SUMIFS(Transactions!$C:$C,Transactions!$A:$A,"&gt;="&amp;DATE(YEAR($A9),MONTH($A9),1),Transactions!$A:$A,"&lt;="&amp;EOMONTH($A9,0))</f>
        <v>746.72236147077933</v>
      </c>
      <c r="G9" s="50">
        <f>SUM($F$2:F9)</f>
        <v>-3233.6171913067146</v>
      </c>
      <c r="H9" s="50">
        <f t="shared" si="9"/>
        <v>14791.21280869329</v>
      </c>
      <c r="I9" s="50">
        <f t="shared" si="1"/>
        <v>24.029752713263168</v>
      </c>
      <c r="J9" s="50">
        <f t="shared" si="2"/>
        <v>149.34447229415588</v>
      </c>
      <c r="K9" s="50">
        <f t="shared" si="5"/>
        <v>173.37422500741906</v>
      </c>
      <c r="L9" s="50">
        <f>SUM(K$2:$K9)</f>
        <v>574.52396546969044</v>
      </c>
      <c r="M9" s="50"/>
      <c r="N9" s="50">
        <f>L9-SUM($M$2:M9)</f>
        <v>574.52396546969044</v>
      </c>
      <c r="O9" s="50">
        <f t="shared" si="6"/>
        <v>14216.688843223596</v>
      </c>
      <c r="P9" s="14">
        <f>_xlfn.XLOOKUP(A9,'Client Management'!$D$3:$AB$3,'Client Management'!$D$94:$AB$94)</f>
        <v>168.89757183461944</v>
      </c>
      <c r="Q9" s="14">
        <f t="shared" si="3"/>
        <v>87.575047101189242</v>
      </c>
      <c r="R9" s="14">
        <f t="shared" si="7"/>
        <v>84.173435347810951</v>
      </c>
      <c r="S9" s="15">
        <f>H9/B9 -1</f>
        <v>5.3168348419394107E-2</v>
      </c>
      <c r="T9" s="15">
        <f>O9/B9 -1</f>
        <v>1.226092157976022E-2</v>
      </c>
    </row>
    <row r="10" spans="1:20" x14ac:dyDescent="0.25">
      <c r="A10" s="4">
        <v>45536</v>
      </c>
      <c r="B10" s="50">
        <f>H9+_xlfn.XLOOKUP(A10,'Client Management'!$D$3:$AB$3,'Client Management'!$D$64:$AB$64)</f>
        <v>14791.21280869329</v>
      </c>
      <c r="C10" s="50">
        <f>O9+_xlfn.XLOOKUP(A10,'Client Management'!$D$3:$AB$3,'Client Management'!$D$64:$AB$64)</f>
        <v>14216.688843223596</v>
      </c>
      <c r="D10" s="14">
        <f t="shared" si="4"/>
        <v>87.575047101189242</v>
      </c>
      <c r="E10" s="14">
        <f t="shared" si="8"/>
        <v>84.173435347810951</v>
      </c>
      <c r="F10" s="50">
        <f>SUMIFS(Transactions!$C:$C,Transactions!$A:$A,"&gt;="&amp;DATE(YEAR($A10),MONTH($A10),1),Transactions!$A:$A,"&lt;="&amp;EOMONTH($A10,0))</f>
        <v>-931.9425</v>
      </c>
      <c r="G10" s="50">
        <f>SUM($F$2:F10)</f>
        <v>-4165.5596913067147</v>
      </c>
      <c r="H10" s="50">
        <f t="shared" si="9"/>
        <v>13859.270308693291</v>
      </c>
      <c r="I10" s="50">
        <f t="shared" si="1"/>
        <v>23.875402597822152</v>
      </c>
      <c r="J10" s="50">
        <f t="shared" si="2"/>
        <v>0</v>
      </c>
      <c r="K10" s="50">
        <f t="shared" si="5"/>
        <v>23.875402597822152</v>
      </c>
      <c r="L10" s="50">
        <f>SUM(K$2:$K10)</f>
        <v>598.39936806751257</v>
      </c>
      <c r="M10" s="50"/>
      <c r="N10" s="50">
        <f>L10-SUM($M$2:M10)</f>
        <v>598.39936806751257</v>
      </c>
      <c r="O10" s="50">
        <f t="shared" si="6"/>
        <v>13260.870940625775</v>
      </c>
      <c r="P10" s="14">
        <f>_xlfn.XLOOKUP(A10,'Client Management'!$D$3:$AB$3,'Client Management'!$D$94:$AB$94)</f>
        <v>168.89757183461944</v>
      </c>
      <c r="Q10" s="14">
        <f t="shared" si="3"/>
        <v>82.057250191044574</v>
      </c>
      <c r="R10" s="14">
        <f t="shared" si="7"/>
        <v>78.514278189922763</v>
      </c>
      <c r="S10" s="15">
        <f>H10/B10 -1</f>
        <v>-6.3006496631044739E-2</v>
      </c>
      <c r="T10" s="15">
        <f>O10/B10 -1</f>
        <v>-0.10346290651487899</v>
      </c>
    </row>
    <row r="11" spans="1:20" x14ac:dyDescent="0.25">
      <c r="A11" s="4">
        <v>45566</v>
      </c>
      <c r="B11" s="50">
        <f>H10+_xlfn.XLOOKUP(A11,'Client Management'!$D$3:$AB$3,'Client Management'!$D$64:$AB$64)</f>
        <v>13859.270308693291</v>
      </c>
      <c r="C11" s="50">
        <f>O10+_xlfn.XLOOKUP(A11,'Client Management'!$D$3:$AB$3,'Client Management'!$D$64:$AB$64)</f>
        <v>13260.870940625775</v>
      </c>
      <c r="D11" s="14">
        <f t="shared" si="4"/>
        <v>82.057250191044574</v>
      </c>
      <c r="E11" s="14">
        <f t="shared" si="8"/>
        <v>78.514278189922763</v>
      </c>
      <c r="F11" s="50">
        <f>SUMIFS(Transactions!$C:$C,Transactions!$A:$A,"&gt;="&amp;DATE(YEAR($A11),MONTH($A11),1),Transactions!$A:$A,"&lt;="&amp;EOMONTH($A11,0))</f>
        <v>9766.8117171750891</v>
      </c>
      <c r="G11" s="50">
        <f>SUM($F$2:F11)</f>
        <v>5601.2520258683744</v>
      </c>
      <c r="H11" s="50">
        <f t="shared" si="9"/>
        <v>23626.082025868382</v>
      </c>
      <c r="I11" s="50">
        <f t="shared" si="1"/>
        <v>31.237793612134727</v>
      </c>
      <c r="J11" s="50">
        <f t="shared" si="2"/>
        <v>1953.3623434350179</v>
      </c>
      <c r="K11" s="50">
        <f t="shared" si="5"/>
        <v>1984.6001370471527</v>
      </c>
      <c r="L11" s="50">
        <f>SUM(K$2:$K11)</f>
        <v>2582.9995051146652</v>
      </c>
      <c r="M11" s="50"/>
      <c r="N11" s="50">
        <f>L11-SUM($M$2:M11)</f>
        <v>2582.9995051146652</v>
      </c>
      <c r="O11" s="50">
        <f t="shared" si="6"/>
        <v>21043.082520753709</v>
      </c>
      <c r="P11" s="14">
        <f>_xlfn.XLOOKUP(A11,'Client Management'!$D$3:$AB$3,'Client Management'!$D$94:$AB$94)</f>
        <v>168.89757183461944</v>
      </c>
      <c r="Q11" s="14">
        <f t="shared" si="3"/>
        <v>139.88408340767913</v>
      </c>
      <c r="R11" s="14">
        <f t="shared" si="7"/>
        <v>124.59079365189811</v>
      </c>
      <c r="S11" s="15">
        <f>H11/B11 -1</f>
        <v>0.70471327130756767</v>
      </c>
      <c r="T11" s="15">
        <f>O11/B11 -1</f>
        <v>0.51833985859662035</v>
      </c>
    </row>
    <row r="12" spans="1:20" x14ac:dyDescent="0.25">
      <c r="A12" s="4">
        <v>45597</v>
      </c>
      <c r="B12" s="50">
        <f>H11+_xlfn.XLOOKUP(A12,'Client Management'!$D$3:$AB$3,'Client Management'!$D$64:$AB$64)</f>
        <v>23626.082025868382</v>
      </c>
      <c r="C12" s="50">
        <f>O11+_xlfn.XLOOKUP(A12,'Client Management'!$D$3:$AB$3,'Client Management'!$D$64:$AB$64)</f>
        <v>21043.082520753709</v>
      </c>
      <c r="D12" s="14">
        <f t="shared" si="4"/>
        <v>139.88408340767913</v>
      </c>
      <c r="E12" s="14">
        <f t="shared" si="8"/>
        <v>124.59079365189811</v>
      </c>
      <c r="F12" s="50">
        <f>SUMIFS(Transactions!$C:$C,Transactions!$A:$A,"&gt;="&amp;DATE(YEAR($A12),MONTH($A12),1),Transactions!$A:$A,"&lt;="&amp;EOMONTH($A12,0))</f>
        <v>209.60445175089276</v>
      </c>
      <c r="G12" s="50">
        <f>SUM($F$2:F12)</f>
        <v>5810.856477619267</v>
      </c>
      <c r="H12" s="50">
        <f t="shared" si="9"/>
        <v>23835.686477619274</v>
      </c>
      <c r="I12" s="50">
        <f t="shared" si="1"/>
        <v>39.551473752906382</v>
      </c>
      <c r="J12" s="50">
        <f t="shared" si="2"/>
        <v>41.920890350178553</v>
      </c>
      <c r="K12" s="50">
        <f t="shared" si="5"/>
        <v>81.472364103084942</v>
      </c>
      <c r="L12" s="50">
        <f>SUM(K$2:$K12)</f>
        <v>2664.4718692177503</v>
      </c>
      <c r="M12" s="50"/>
      <c r="N12" s="50">
        <f>L12-SUM($M$2:M12)</f>
        <v>2664.4718692177503</v>
      </c>
      <c r="O12" s="50">
        <f t="shared" si="6"/>
        <v>21171.214608401518</v>
      </c>
      <c r="P12" s="14">
        <f>_xlfn.XLOOKUP(A12,'Client Management'!$D$3:$AB$3,'Client Management'!$D$94:$AB$94)</f>
        <v>168.89757183461944</v>
      </c>
      <c r="Q12" s="14">
        <f t="shared" si="3"/>
        <v>141.12509859501486</v>
      </c>
      <c r="R12" s="14">
        <f t="shared" si="7"/>
        <v>125.34943148343113</v>
      </c>
      <c r="S12" s="15">
        <f>H12/B12 -1</f>
        <v>8.8717397798498965E-3</v>
      </c>
      <c r="T12" s="15">
        <f>O12/B12 -1</f>
        <v>-0.10390497310468194</v>
      </c>
    </row>
    <row r="13" spans="1:20" x14ac:dyDescent="0.25">
      <c r="A13" s="4">
        <v>45627</v>
      </c>
      <c r="B13" s="50">
        <f>H12+_xlfn.XLOOKUP(A13,'Client Management'!$D$3:$AB$3,'Client Management'!$D$64:$AB$64)</f>
        <v>23835.686477619274</v>
      </c>
      <c r="C13" s="50">
        <f>O12+_xlfn.XLOOKUP(A13,'Client Management'!$D$3:$AB$3,'Client Management'!$D$64:$AB$64)</f>
        <v>21171.214608401518</v>
      </c>
      <c r="D13" s="14">
        <f t="shared" si="4"/>
        <v>141.12509859501486</v>
      </c>
      <c r="E13" s="14">
        <f t="shared" si="8"/>
        <v>125.34943148343113</v>
      </c>
      <c r="F13" s="50">
        <f>SUMIFS(Transactions!$C:$C,Transactions!$A:$A,"&gt;="&amp;DATE(YEAR($A13),MONTH($A13),1),Transactions!$A:$A,"&lt;="&amp;EOMONTH($A13,0))</f>
        <v>1014.5743839884123</v>
      </c>
      <c r="G13" s="50">
        <f>SUM($F$2:F13)</f>
        <v>6825.4308616076796</v>
      </c>
      <c r="H13" s="50">
        <f t="shared" si="9"/>
        <v>24850.260861607687</v>
      </c>
      <c r="I13" s="50">
        <f t="shared" si="1"/>
        <v>40.571622782689133</v>
      </c>
      <c r="J13" s="50">
        <f t="shared" si="2"/>
        <v>202.91487679768247</v>
      </c>
      <c r="K13" s="50">
        <f t="shared" si="5"/>
        <v>243.4864995803716</v>
      </c>
      <c r="L13" s="50">
        <f>SUM(K$2:$K13)</f>
        <v>2907.9583687981217</v>
      </c>
      <c r="M13" s="50"/>
      <c r="N13" s="50">
        <f>L13-SUM($M$2:M13)</f>
        <v>2907.9583687981217</v>
      </c>
      <c r="O13" s="50">
        <f t="shared" si="6"/>
        <v>21942.302492809558</v>
      </c>
      <c r="P13" s="14">
        <f>_xlfn.XLOOKUP(A13,'Client Management'!$D$3:$AB$3,'Client Management'!$D$94:$AB$94)</f>
        <v>168.89757183461944</v>
      </c>
      <c r="Q13" s="14">
        <f t="shared" si="3"/>
        <v>147.13213808627447</v>
      </c>
      <c r="R13" s="14">
        <f t="shared" si="7"/>
        <v>129.91484871253772</v>
      </c>
      <c r="S13" s="15">
        <f>H13/B13 -1</f>
        <v>4.2565351954140462E-2</v>
      </c>
      <c r="T13" s="15">
        <f>O13/B13 -1</f>
        <v>-7.9434841811144241E-2</v>
      </c>
    </row>
    <row r="14" spans="1:20" x14ac:dyDescent="0.25">
      <c r="A14" s="4">
        <v>45658</v>
      </c>
      <c r="B14" s="50">
        <f>H13+_xlfn.XLOOKUP(A14,'Client Management'!$D$3:$AB$3,'Client Management'!$D$64:$AB$64)</f>
        <v>24450.100861607687</v>
      </c>
      <c r="C14" s="50">
        <f>O13+_xlfn.XLOOKUP(A14,'Client Management'!$D$3:$AB$3,'Client Management'!$D$64:$AB$64)</f>
        <v>21542.142492809558</v>
      </c>
      <c r="D14" s="14">
        <f t="shared" si="4"/>
        <v>147.13213808627447</v>
      </c>
      <c r="E14" s="14">
        <f t="shared" si="8"/>
        <v>129.91484871253772</v>
      </c>
      <c r="F14" s="50">
        <f>SUMIFS(Transactions!$C:$C,Transactions!$A:$A,"&gt;="&amp;DATE(YEAR($A14),MONTH($A14),1),Transactions!$A:$A,"&lt;="&amp;EOMONTH($A14,0))</f>
        <v>1411.7379343743369</v>
      </c>
      <c r="G14" s="50">
        <f>SUM($F$2:F14)</f>
        <v>8237.1687959820156</v>
      </c>
      <c r="H14" s="50">
        <f t="shared" si="9"/>
        <v>25861.838795982025</v>
      </c>
      <c r="I14" s="50">
        <f t="shared" si="1"/>
        <v>41.926616381324763</v>
      </c>
      <c r="J14" s="50">
        <f t="shared" si="2"/>
        <v>282.34758687486737</v>
      </c>
      <c r="K14" s="50">
        <f t="shared" si="5"/>
        <v>324.27420325619215</v>
      </c>
      <c r="L14" s="50">
        <f>SUM(K$2:$K14)</f>
        <v>3232.232572054314</v>
      </c>
      <c r="M14" s="50"/>
      <c r="N14" s="50">
        <f>L14-SUM($M$2:M14)</f>
        <v>3232.232572054314</v>
      </c>
      <c r="O14" s="50">
        <f t="shared" si="6"/>
        <v>22629.606223927705</v>
      </c>
      <c r="P14" s="14">
        <f>_xlfn.XLOOKUP(A14,'Client Management'!$D$3:$AB$3,'Client Management'!$D$94:$AB$94)</f>
        <v>165.8174004457012</v>
      </c>
      <c r="Q14" s="14">
        <f t="shared" si="3"/>
        <v>155.96577154428843</v>
      </c>
      <c r="R14" s="14">
        <f t="shared" si="7"/>
        <v>136.47304904733463</v>
      </c>
      <c r="S14" s="15">
        <f>H14/B14 -1</f>
        <v>5.7739554628631007E-2</v>
      </c>
      <c r="T14" s="15">
        <f>O14/B14 -1</f>
        <v>-7.4457551238104713E-2</v>
      </c>
    </row>
    <row r="15" spans="1:20" x14ac:dyDescent="0.25">
      <c r="A15" s="4">
        <v>45689</v>
      </c>
      <c r="B15" s="50">
        <f>H14+_xlfn.XLOOKUP(A15,'Client Management'!$D$3:$AB$3,'Client Management'!$D$64:$AB$64)</f>
        <v>26561.838795982025</v>
      </c>
      <c r="C15" s="50">
        <f>O14+_xlfn.XLOOKUP(A15,'Client Management'!$D$3:$AB$3,'Client Management'!$D$64:$AB$64)</f>
        <v>23329.606223927705</v>
      </c>
      <c r="D15" s="14">
        <f t="shared" si="4"/>
        <v>155.96577154428843</v>
      </c>
      <c r="E15" s="14">
        <f t="shared" si="8"/>
        <v>136.47304904733463</v>
      </c>
      <c r="F15" s="50">
        <f>SUMIFS(Transactions!$C:$C,Transactions!$A:$A,"&gt;="&amp;DATE(YEAR($A15),MONTH($A15),1),Transactions!$A:$A,"&lt;="&amp;EOMONTH($A15,0))</f>
        <v>232.95677130364561</v>
      </c>
      <c r="G15" s="50">
        <f>SUM($F$2:F15)</f>
        <v>8470.1255672856605</v>
      </c>
      <c r="H15" s="50">
        <f t="shared" si="9"/>
        <v>26794.79556728567</v>
      </c>
      <c r="I15" s="50">
        <f t="shared" si="1"/>
        <v>44.463861969389747</v>
      </c>
      <c r="J15" s="50">
        <f t="shared" si="2"/>
        <v>46.591354260729126</v>
      </c>
      <c r="K15" s="50">
        <f t="shared" si="5"/>
        <v>91.055216230118873</v>
      </c>
      <c r="L15" s="50">
        <f>SUM(K$2:$K15)</f>
        <v>3323.2877882844327</v>
      </c>
      <c r="M15" s="50"/>
      <c r="N15" s="50">
        <f>L15-SUM($M$2:M15)</f>
        <v>3323.2877882844327</v>
      </c>
      <c r="O15" s="50">
        <f t="shared" si="6"/>
        <v>23471.507779001233</v>
      </c>
      <c r="P15" s="14">
        <f>_xlfn.XLOOKUP(A15,'Client Management'!$D$3:$AB$3,'Client Management'!$D$94:$AB$94)</f>
        <v>170.94661830143482</v>
      </c>
      <c r="Q15" s="14">
        <f t="shared" si="3"/>
        <v>156.74364215873331</v>
      </c>
      <c r="R15" s="14">
        <f t="shared" si="7"/>
        <v>137.30314183585244</v>
      </c>
      <c r="S15" s="15">
        <f>H15/B15 -1</f>
        <v>8.7703555876894601E-3</v>
      </c>
      <c r="T15" s="15">
        <f>O15/B15 -1</f>
        <v>-0.1163447696794343</v>
      </c>
    </row>
    <row r="16" spans="1:20" x14ac:dyDescent="0.25">
      <c r="A16" s="4">
        <v>45717</v>
      </c>
      <c r="B16" s="50">
        <f>H15+_xlfn.XLOOKUP(A16,'Client Management'!$D$3:$AB$3,'Client Management'!$D$64:$AB$64)</f>
        <v>27387.235567285668</v>
      </c>
      <c r="C16" s="50">
        <f>O15+_xlfn.XLOOKUP(A16,'Client Management'!$D$3:$AB$3,'Client Management'!$D$64:$AB$64)</f>
        <v>24063.947779001232</v>
      </c>
      <c r="D16" s="14">
        <f t="shared" si="4"/>
        <v>156.74364215873331</v>
      </c>
      <c r="E16" s="14">
        <f t="shared" si="8"/>
        <v>137.30314183585244</v>
      </c>
      <c r="F16" s="50">
        <f>SUMIFS(Transactions!$C:$C,Transactions!$A:$A,"&gt;="&amp;DATE(YEAR($A16),MONTH($A16),1),Transactions!$A:$A,"&lt;="&amp;EOMONTH($A16,0))</f>
        <v>2350.4256591390631</v>
      </c>
      <c r="G16" s="50">
        <f>SUM($F$2:F16)</f>
        <v>10820.551226424723</v>
      </c>
      <c r="H16" s="50">
        <f t="shared" si="9"/>
        <v>29737.661226424731</v>
      </c>
      <c r="I16" s="50">
        <f t="shared" si="1"/>
        <v>47.604080661425336</v>
      </c>
      <c r="J16" s="50">
        <f t="shared" si="2"/>
        <v>470.08513182781263</v>
      </c>
      <c r="K16" s="50">
        <f t="shared" si="5"/>
        <v>517.689212489238</v>
      </c>
      <c r="L16" s="50">
        <f>SUM(K$2:$K16)</f>
        <v>3840.9770007736706</v>
      </c>
      <c r="M16" s="50"/>
      <c r="N16" s="50">
        <f>L16-SUM($M$2:M16)</f>
        <v>3840.9770007736706</v>
      </c>
      <c r="O16" s="50">
        <f t="shared" si="6"/>
        <v>25896.684225651057</v>
      </c>
      <c r="P16" s="14">
        <f>_xlfn.XLOOKUP(A16,'Client Management'!$D$3:$AB$3,'Client Management'!$D$94:$AB$94)</f>
        <v>175.26145037358265</v>
      </c>
      <c r="Q16" s="14">
        <f t="shared" si="3"/>
        <v>169.67599642155605</v>
      </c>
      <c r="R16" s="14">
        <f t="shared" si="7"/>
        <v>147.76029851658978</v>
      </c>
      <c r="S16" s="15">
        <f>H16/B16 -1</f>
        <v>8.5821938960012112E-2</v>
      </c>
      <c r="T16" s="15">
        <f>O16/B16 -1</f>
        <v>-5.4425038188779085E-2</v>
      </c>
    </row>
    <row r="17" spans="1:20" x14ac:dyDescent="0.25">
      <c r="A17" s="4">
        <v>45748</v>
      </c>
      <c r="B17" s="50">
        <f>H16+_xlfn.XLOOKUP(A17,'Client Management'!$D$3:$AB$3,'Client Management'!$D$64:$AB$64)</f>
        <v>29737.661226424731</v>
      </c>
      <c r="C17" s="50">
        <f>O16+_xlfn.XLOOKUP(A17,'Client Management'!$D$3:$AB$3,'Client Management'!$D$64:$AB$64)</f>
        <v>25896.684225651057</v>
      </c>
      <c r="D17" s="14">
        <f t="shared" si="4"/>
        <v>169.67599642155605</v>
      </c>
      <c r="E17" s="14">
        <f t="shared" si="8"/>
        <v>147.76029851658978</v>
      </c>
      <c r="F17" s="50">
        <f>SUMIFS(Transactions!$C:$C,Transactions!$A:$A,"&gt;="&amp;DATE(YEAR($A17),MONTH($A17),1),Transactions!$A:$A,"&lt;="&amp;EOMONTH($A17,0))</f>
        <v>40841.362738905489</v>
      </c>
      <c r="G17" s="50">
        <f>SUM($F$2:F17)</f>
        <v>51661.913965330212</v>
      </c>
      <c r="H17" s="50">
        <f t="shared" si="9"/>
        <v>70579.023965330212</v>
      </c>
      <c r="I17" s="50">
        <f t="shared" si="1"/>
        <v>83.597237659795795</v>
      </c>
      <c r="J17" s="50">
        <f t="shared" si="2"/>
        <v>8168.2725477810982</v>
      </c>
      <c r="K17" s="50">
        <f t="shared" si="5"/>
        <v>8251.8697854408947</v>
      </c>
      <c r="L17" s="50">
        <f>SUM(K$2:$K17)</f>
        <v>12092.846786214566</v>
      </c>
      <c r="M17" s="50"/>
      <c r="N17" s="50">
        <f>L17-SUM($M$2:M17)</f>
        <v>12092.846786214566</v>
      </c>
      <c r="O17" s="50">
        <f t="shared" si="6"/>
        <v>58486.17717911565</v>
      </c>
      <c r="P17" s="14">
        <f>_xlfn.XLOOKUP(A17,'Client Management'!$D$3:$AB$3,'Client Management'!$D$94:$AB$94)</f>
        <v>175.26145037358265</v>
      </c>
      <c r="Q17" s="14">
        <f t="shared" si="3"/>
        <v>402.70706316127047</v>
      </c>
      <c r="R17" s="14">
        <f t="shared" si="7"/>
        <v>333.70816602537565</v>
      </c>
      <c r="S17" s="15">
        <f>H17/B17 -1</f>
        <v>1.3733885266879717</v>
      </c>
      <c r="T17" s="15">
        <f>O17/B17 -1</f>
        <v>0.96673762384330142</v>
      </c>
    </row>
    <row r="18" spans="1:20" x14ac:dyDescent="0.25">
      <c r="A18" s="4">
        <v>45778</v>
      </c>
      <c r="B18" s="50">
        <f>H17+_xlfn.XLOOKUP(A18,'Client Management'!$D$3:$AB$3,'Client Management'!$D$64:$AB$64)</f>
        <v>71713.323965330215</v>
      </c>
      <c r="C18" s="50">
        <f>O17+_xlfn.XLOOKUP(A18,'Client Management'!$D$3:$AB$3,'Client Management'!$D$64:$AB$64)</f>
        <v>59620.477179115653</v>
      </c>
      <c r="D18" s="14">
        <f t="shared" si="4"/>
        <v>402.70706316127047</v>
      </c>
      <c r="E18" s="14">
        <f t="shared" si="8"/>
        <v>333.70816602537565</v>
      </c>
      <c r="F18" s="50">
        <f>SUMIFS(Transactions!$C:$C,Transactions!$A:$A,"&gt;="&amp;DATE(YEAR($A18),MONTH($A18),1),Transactions!$A:$A,"&lt;="&amp;EOMONTH($A18,0))</f>
        <v>34.35</v>
      </c>
      <c r="G18" s="50">
        <f>SUM($F$2:F18)</f>
        <v>51696.26396533021</v>
      </c>
      <c r="H18" s="50">
        <f t="shared" si="9"/>
        <v>71747.673965330221</v>
      </c>
      <c r="I18" s="50">
        <f t="shared" si="1"/>
        <v>119.5508316088837</v>
      </c>
      <c r="J18" s="50">
        <f t="shared" si="2"/>
        <v>6.870000000000001</v>
      </c>
      <c r="K18" s="50">
        <f t="shared" si="5"/>
        <v>126.4208316088837</v>
      </c>
      <c r="L18" s="50">
        <f>SUM(K$2:$K18)</f>
        <v>12219.267617823451</v>
      </c>
      <c r="M18" s="50"/>
      <c r="N18" s="50">
        <f>L18-SUM($M$2:M18)</f>
        <v>12219.267617823451</v>
      </c>
      <c r="O18" s="50">
        <f t="shared" si="6"/>
        <v>59528.406347506767</v>
      </c>
      <c r="P18" s="14">
        <f>_xlfn.XLOOKUP(A18,'Client Management'!$D$3:$AB$3,'Client Management'!$D$94:$AB$94)</f>
        <v>178.66052811719936</v>
      </c>
      <c r="Q18" s="14">
        <f t="shared" si="3"/>
        <v>401.58659957763319</v>
      </c>
      <c r="R18" s="14">
        <f t="shared" si="7"/>
        <v>333.19282650086416</v>
      </c>
      <c r="S18" s="15">
        <f>H18/B18 -1</f>
        <v>4.789904874109574E-4</v>
      </c>
      <c r="T18" s="15">
        <f>O18/B18 -1</f>
        <v>-0.16991148846641446</v>
      </c>
    </row>
    <row r="19" spans="1:20" x14ac:dyDescent="0.25">
      <c r="A19" s="4">
        <v>45809</v>
      </c>
      <c r="B19" s="50">
        <f>H18+_xlfn.XLOOKUP(A19,'Client Management'!$D$3:$AB$3,'Client Management'!$D$64:$AB$64)</f>
        <v>80918.963965330215</v>
      </c>
      <c r="C19" s="50">
        <f>O18+_xlfn.XLOOKUP(A19,'Client Management'!$D$3:$AB$3,'Client Management'!$D$64:$AB$64)</f>
        <v>68699.696347506775</v>
      </c>
      <c r="D19" s="14">
        <f t="shared" si="4"/>
        <v>401.58659957763319</v>
      </c>
      <c r="E19" s="14">
        <f t="shared" si="8"/>
        <v>333.19282650086416</v>
      </c>
      <c r="F19" s="50">
        <f>SUMIFS(Transactions!$C:$C,Transactions!$A:$A,"&gt;="&amp;DATE(YEAR($A19),MONTH($A19),1),Transactions!$A:$A,"&lt;="&amp;EOMONTH($A19,0))</f>
        <v>-70.387500000000003</v>
      </c>
      <c r="G19" s="50">
        <f>SUM($F$2:F19)</f>
        <v>51625.876465330213</v>
      </c>
      <c r="H19" s="50">
        <f t="shared" si="9"/>
        <v>80848.576465330218</v>
      </c>
      <c r="I19" s="50">
        <f t="shared" si="1"/>
        <v>134.80628369221702</v>
      </c>
      <c r="J19" s="50">
        <f t="shared" si="2"/>
        <v>0</v>
      </c>
      <c r="K19" s="50">
        <f t="shared" si="5"/>
        <v>134.80628369221702</v>
      </c>
      <c r="L19" s="50">
        <f>SUM(K$2:$K19)</f>
        <v>12354.073901515667</v>
      </c>
      <c r="M19" s="50"/>
      <c r="N19" s="50">
        <f>L19-SUM($M$2:M19)</f>
        <v>12354.073901515667</v>
      </c>
      <c r="O19" s="50">
        <f t="shared" si="6"/>
        <v>68494.50256381456</v>
      </c>
      <c r="P19" s="14">
        <f>_xlfn.XLOOKUP(A19,'Client Management'!$D$3:$AB$3,'Client Management'!$D$94:$AB$94)</f>
        <v>206.18600066808037</v>
      </c>
      <c r="Q19" s="14">
        <f t="shared" si="3"/>
        <v>392.11477114530589</v>
      </c>
      <c r="R19" s="14">
        <f t="shared" si="7"/>
        <v>332.19763874307586</v>
      </c>
      <c r="S19" s="15">
        <f>H19/B19 -1</f>
        <v>-8.6985172017473023E-4</v>
      </c>
      <c r="T19" s="15">
        <f>O19/B19 -1</f>
        <v>-0.15354202269370287</v>
      </c>
    </row>
    <row r="20" spans="1:20" x14ac:dyDescent="0.25">
      <c r="A20" s="4">
        <v>45839</v>
      </c>
      <c r="B20" s="50">
        <f>H19+_xlfn.XLOOKUP(A20,'Client Management'!$D$3:$AB$3,'Client Management'!$D$64:$AB$64)</f>
        <v>80848.576465330218</v>
      </c>
      <c r="C20" s="50">
        <f>O19+_xlfn.XLOOKUP(A20,'Client Management'!$D$3:$AB$3,'Client Management'!$D$64:$AB$64)</f>
        <v>68494.50256381456</v>
      </c>
      <c r="D20" s="14">
        <f t="shared" si="4"/>
        <v>392.11477114530589</v>
      </c>
      <c r="E20" s="14">
        <f t="shared" si="8"/>
        <v>332.19763874307586</v>
      </c>
      <c r="F20" s="50">
        <f>SUMIFS(Transactions!$C:$C,Transactions!$A:$A,"&gt;="&amp;DATE(YEAR($A20),MONTH($A20),1),Transactions!$A:$A,"&lt;="&amp;EOMONTH($A20,0))</f>
        <v>652.75727417999997</v>
      </c>
      <c r="G20" s="50">
        <f>SUM($F$2:F20)</f>
        <v>52278.633739510216</v>
      </c>
      <c r="H20" s="50">
        <f t="shared" si="9"/>
        <v>81501.333739510213</v>
      </c>
      <c r="I20" s="50">
        <f t="shared" si="1"/>
        <v>135.29159183736704</v>
      </c>
      <c r="J20" s="50">
        <f t="shared" si="2"/>
        <v>130.551454836</v>
      </c>
      <c r="K20" s="50">
        <f t="shared" si="5"/>
        <v>265.84304667336704</v>
      </c>
      <c r="L20" s="50">
        <f>SUM(K$2:$K20)</f>
        <v>12619.916948189033</v>
      </c>
      <c r="M20" s="50"/>
      <c r="N20" s="50">
        <f>L20-SUM($M$2:M20)</f>
        <v>12619.916948189033</v>
      </c>
      <c r="O20" s="50">
        <f t="shared" si="6"/>
        <v>68881.416791321186</v>
      </c>
      <c r="P20" s="14">
        <f>_xlfn.XLOOKUP(A20,'Client Management'!$D$3:$AB$3,'Client Management'!$D$94:$AB$94)</f>
        <v>206.18600066808037</v>
      </c>
      <c r="Q20" s="14">
        <f t="shared" si="3"/>
        <v>395.28063726650197</v>
      </c>
      <c r="R20" s="14">
        <f t="shared" si="7"/>
        <v>334.07416879968957</v>
      </c>
      <c r="S20" s="15">
        <f>H20/B20 -1</f>
        <v>8.0738252016090417E-3</v>
      </c>
      <c r="T20" s="15">
        <f>O20/B20 -1</f>
        <v>-0.14801942343587005</v>
      </c>
    </row>
    <row r="21" spans="1:20" x14ac:dyDescent="0.25">
      <c r="A21" s="4">
        <v>45870</v>
      </c>
      <c r="B21" s="50">
        <f>H20+_xlfn.XLOOKUP(A21,'Client Management'!$D$3:$AB$3,'Client Management'!$D$64:$AB$64)</f>
        <v>81501.333739510213</v>
      </c>
      <c r="C21" s="50">
        <f>O20+_xlfn.XLOOKUP(A21,'Client Management'!$D$3:$AB$3,'Client Management'!$D$64:$AB$64)</f>
        <v>68881.416791321186</v>
      </c>
      <c r="D21" s="14">
        <f t="shared" si="4"/>
        <v>395.28063726650197</v>
      </c>
      <c r="E21" s="14">
        <f t="shared" si="8"/>
        <v>334.07416879968957</v>
      </c>
      <c r="F21" s="50">
        <f>SUMIFS(Transactions!$C:$C,Transactions!$A:$A,"&gt;="&amp;DATE(YEAR($A21),MONTH($A21),1),Transactions!$A:$A,"&lt;="&amp;EOMONTH($A21,0))</f>
        <v>9474.0149999999994</v>
      </c>
      <c r="G21" s="50">
        <f>SUM($F$2:F21)</f>
        <v>61752.648739510216</v>
      </c>
      <c r="H21" s="50">
        <f t="shared" si="9"/>
        <v>90975.348739510213</v>
      </c>
      <c r="I21" s="50">
        <f t="shared" si="1"/>
        <v>143.73056873251704</v>
      </c>
      <c r="J21" s="50">
        <f t="shared" si="2"/>
        <v>1894.8029999999999</v>
      </c>
      <c r="K21" s="50">
        <f t="shared" si="5"/>
        <v>2038.5335687325169</v>
      </c>
      <c r="L21" s="50">
        <f>SUM(K$2:$K21)</f>
        <v>14658.45051692155</v>
      </c>
      <c r="M21" s="50"/>
      <c r="N21" s="50">
        <f>L21-SUM($M$2:M21)</f>
        <v>14658.45051692155</v>
      </c>
      <c r="O21" s="50">
        <f t="shared" si="6"/>
        <v>76316.898222588672</v>
      </c>
      <c r="P21" s="14">
        <f>_xlfn.XLOOKUP(A21,'Client Management'!$D$3:$AB$3,'Client Management'!$D$94:$AB$94)</f>
        <v>206.18600066808037</v>
      </c>
      <c r="Q21" s="14">
        <f t="shared" si="3"/>
        <v>441.22951337497909</v>
      </c>
      <c r="R21" s="14">
        <f t="shared" si="7"/>
        <v>370.13617789427002</v>
      </c>
      <c r="S21" s="15">
        <f>H21/B21 -1</f>
        <v>0.11624368050565037</v>
      </c>
      <c r="T21" s="15">
        <f>O21/B21 -1</f>
        <v>-6.3611664730441442E-2</v>
      </c>
    </row>
    <row r="22" spans="1:20" x14ac:dyDescent="0.25">
      <c r="A22" s="4">
        <v>45901</v>
      </c>
      <c r="B22" s="50">
        <f>H21+_xlfn.XLOOKUP(A22,'Client Management'!$D$3:$AB$3,'Client Management'!$D$64:$AB$64)</f>
        <v>90975.348739510213</v>
      </c>
      <c r="C22" s="50">
        <f>O21+_xlfn.XLOOKUP(A22,'Client Management'!$D$3:$AB$3,'Client Management'!$D$64:$AB$64)</f>
        <v>76316.898222588672</v>
      </c>
      <c r="D22" s="14">
        <f t="shared" si="4"/>
        <v>441.22951337497909</v>
      </c>
      <c r="E22" s="14">
        <f t="shared" si="8"/>
        <v>370.13617789427002</v>
      </c>
      <c r="F22" s="50">
        <f>SUMIFS(Transactions!$C:$C,Transactions!$A:$A,"&gt;="&amp;DATE(YEAR($A22),MONTH($A22),1),Transactions!$A:$A,"&lt;="&amp;EOMONTH($A22,0))</f>
        <v>0</v>
      </c>
      <c r="G22" s="50">
        <f>SUM($F$2:F22)</f>
        <v>61752.648739510216</v>
      </c>
      <c r="H22" s="50">
        <f t="shared" si="9"/>
        <v>90975.348739510213</v>
      </c>
      <c r="I22" s="50">
        <f t="shared" si="1"/>
        <v>151.62558123251702</v>
      </c>
      <c r="J22" s="50">
        <f t="shared" si="2"/>
        <v>0</v>
      </c>
      <c r="K22" s="50">
        <f t="shared" si="5"/>
        <v>151.62558123251702</v>
      </c>
      <c r="L22" s="50">
        <f>SUM(K$2:$K22)</f>
        <v>14810.076098154066</v>
      </c>
      <c r="M22" s="50"/>
      <c r="N22" s="50">
        <f>L22-SUM($M$2:M22)</f>
        <v>14810.076098154066</v>
      </c>
      <c r="O22" s="50">
        <f t="shared" si="6"/>
        <v>76165.272641356161</v>
      </c>
      <c r="P22" s="14">
        <f>_xlfn.XLOOKUP(A22,'Client Management'!$D$3:$AB$3,'Client Management'!$D$94:$AB$94)</f>
        <v>206.18600066808037</v>
      </c>
      <c r="Q22" s="14">
        <f t="shared" si="3"/>
        <v>441.22951337497909</v>
      </c>
      <c r="R22" s="14">
        <f t="shared" si="7"/>
        <v>369.4007953719784</v>
      </c>
      <c r="S22" s="15">
        <f>H22/B22 -1</f>
        <v>0</v>
      </c>
      <c r="T22" s="15">
        <f>O22/B22 -1</f>
        <v>-0.16279218825046504</v>
      </c>
    </row>
    <row r="23" spans="1:20" x14ac:dyDescent="0.25">
      <c r="A23" s="4">
        <v>45931</v>
      </c>
      <c r="B23" s="50">
        <f>H22+_xlfn.XLOOKUP(A23,'Client Management'!$D$3:$AB$3,'Client Management'!$D$64:$AB$64)</f>
        <v>89313.898739510216</v>
      </c>
      <c r="C23" s="50">
        <f>O22+_xlfn.XLOOKUP(A23,'Client Management'!$D$3:$AB$3,'Client Management'!$D$64:$AB$64)</f>
        <v>74503.822641356164</v>
      </c>
      <c r="D23" s="14">
        <f t="shared" si="4"/>
        <v>441.22951337497909</v>
      </c>
      <c r="E23" s="14">
        <f t="shared" si="8"/>
        <v>369.4007953719784</v>
      </c>
      <c r="F23" s="50">
        <f>SUMIFS(Transactions!$C:$C,Transactions!$A:$A,"&gt;="&amp;DATE(YEAR($A23),MONTH($A23),1),Transactions!$A:$A,"&lt;="&amp;EOMONTH($A23,0))</f>
        <v>0</v>
      </c>
      <c r="G23" s="50">
        <f>SUM($F$2:F23)</f>
        <v>61752.648739510216</v>
      </c>
      <c r="H23" s="50">
        <f t="shared" si="9"/>
        <v>89313.898739510216</v>
      </c>
      <c r="I23" s="50">
        <f t="shared" si="1"/>
        <v>148.85649789918369</v>
      </c>
      <c r="J23" s="50">
        <f t="shared" si="2"/>
        <v>0</v>
      </c>
      <c r="K23" s="50">
        <f t="shared" si="5"/>
        <v>148.85649789918369</v>
      </c>
      <c r="L23" s="50">
        <f>SUM(K$2:$K23)</f>
        <v>14958.93259605325</v>
      </c>
      <c r="M23" s="50"/>
      <c r="N23" s="50">
        <f>L23-SUM($M$2:M23)</f>
        <v>14958.93259605325</v>
      </c>
      <c r="O23" s="50">
        <f t="shared" si="6"/>
        <v>74354.966143456986</v>
      </c>
      <c r="P23" s="14">
        <f>_xlfn.XLOOKUP(A23,'Client Management'!$D$3:$AB$3,'Client Management'!$D$94:$AB$94)</f>
        <v>201.68831138095538</v>
      </c>
      <c r="Q23" s="14">
        <f t="shared" si="3"/>
        <v>442.83130801175309</v>
      </c>
      <c r="R23" s="14">
        <f t="shared" si="7"/>
        <v>368.66274319195884</v>
      </c>
      <c r="S23" s="15">
        <f>H23/B23 -1</f>
        <v>0</v>
      </c>
      <c r="T23" s="15">
        <f>O23/B23 -1</f>
        <v>-0.16748717508886191</v>
      </c>
    </row>
    <row r="24" spans="1:20" x14ac:dyDescent="0.25">
      <c r="A24" s="4">
        <v>45962</v>
      </c>
      <c r="B24" s="50">
        <f>H23+_xlfn.XLOOKUP(A24,'Client Management'!$D$3:$AB$3,'Client Management'!$D$64:$AB$64)</f>
        <v>87613.898739510216</v>
      </c>
      <c r="C24" s="50">
        <f>O23+_xlfn.XLOOKUP(A24,'Client Management'!$D$3:$AB$3,'Client Management'!$D$64:$AB$64)</f>
        <v>72654.966143456986</v>
      </c>
      <c r="D24" s="14">
        <f t="shared" si="4"/>
        <v>442.83130801175309</v>
      </c>
      <c r="E24" s="14">
        <f t="shared" si="8"/>
        <v>368.66274319195884</v>
      </c>
      <c r="F24" s="50">
        <f>SUMIFS(Transactions!$C:$C,Transactions!$A:$A,"&gt;="&amp;DATE(YEAR($A24),MONTH($A24),1),Transactions!$A:$A,"&lt;="&amp;EOMONTH($A24,0))</f>
        <v>0</v>
      </c>
      <c r="G24" s="50">
        <f>SUM($F$2:F24)</f>
        <v>61752.648739510216</v>
      </c>
      <c r="H24" s="50">
        <f t="shared" si="9"/>
        <v>87613.898739510216</v>
      </c>
      <c r="I24" s="50">
        <f t="shared" si="1"/>
        <v>146.02316456585038</v>
      </c>
      <c r="J24" s="50">
        <f t="shared" si="2"/>
        <v>0</v>
      </c>
      <c r="K24" s="50">
        <f t="shared" si="5"/>
        <v>146.02316456585038</v>
      </c>
      <c r="L24" s="50">
        <f>SUM(K$2:$K24)</f>
        <v>15104.955760619099</v>
      </c>
      <c r="M24" s="50"/>
      <c r="N24" s="50">
        <f>L24-SUM($M$2:M24)</f>
        <v>15104.955760619099</v>
      </c>
      <c r="O24" s="50">
        <f t="shared" si="6"/>
        <v>72508.942978891137</v>
      </c>
      <c r="P24" s="14">
        <f>_xlfn.XLOOKUP(A24,'Client Management'!$D$3:$AB$3,'Client Management'!$D$94:$AB$94)</f>
        <v>197.07705073313116</v>
      </c>
      <c r="Q24" s="14">
        <f t="shared" si="3"/>
        <v>444.56672359153185</v>
      </c>
      <c r="R24" s="14">
        <f t="shared" si="7"/>
        <v>367.92179865263967</v>
      </c>
      <c r="S24" s="15">
        <f>H24/B24 -1</f>
        <v>0</v>
      </c>
      <c r="T24" s="15">
        <f>O24/B24 -1</f>
        <v>-0.17240364802767727</v>
      </c>
    </row>
    <row r="25" spans="1:20" x14ac:dyDescent="0.25">
      <c r="P25" s="14"/>
      <c r="S25" s="15"/>
      <c r="T25" s="15"/>
    </row>
    <row r="26" spans="1:20" x14ac:dyDescent="0.25">
      <c r="H26" s="50"/>
      <c r="P26" s="14"/>
      <c r="S26" s="15"/>
      <c r="T26" s="15"/>
    </row>
    <row r="27" spans="1:20" x14ac:dyDescent="0.25">
      <c r="P27" s="14"/>
      <c r="S27" s="15"/>
      <c r="T27" s="15"/>
    </row>
    <row r="28" spans="1:20" x14ac:dyDescent="0.25">
      <c r="P28" s="14"/>
      <c r="S28" s="15"/>
      <c r="T28" s="15"/>
    </row>
    <row r="29" spans="1:20" x14ac:dyDescent="0.25">
      <c r="P29" s="14"/>
      <c r="S29" s="15"/>
      <c r="T29" s="15"/>
    </row>
    <row r="30" spans="1:20" x14ac:dyDescent="0.25">
      <c r="P30" s="14"/>
      <c r="S30" s="15"/>
      <c r="T30" s="15"/>
    </row>
    <row r="31" spans="1:20" x14ac:dyDescent="0.25">
      <c r="P31" s="14"/>
      <c r="S31" s="15"/>
      <c r="T31" s="15"/>
    </row>
    <row r="32" spans="1:20" x14ac:dyDescent="0.25">
      <c r="P32" s="14"/>
      <c r="S32" s="15"/>
      <c r="T32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4"/>
  <sheetViews>
    <sheetView showGridLines="0" zoomScaleNormal="100" workbookViewId="0">
      <pane xSplit="3" ySplit="3" topLeftCell="X4" activePane="bottomRight" state="frozen"/>
      <selection pane="topRight" activeCell="D1" sqref="D1"/>
      <selection pane="bottomLeft" activeCell="A4" sqref="A4"/>
      <selection pane="bottomRight" activeCell="D6" sqref="D6"/>
    </sheetView>
  </sheetViews>
  <sheetFormatPr defaultColWidth="10.28515625" defaultRowHeight="15" outlineLevelCol="1" x14ac:dyDescent="0.3"/>
  <cols>
    <col min="1" max="1" width="2.140625" style="22" customWidth="1"/>
    <col min="2" max="2" width="23.85546875" style="16" customWidth="1"/>
    <col min="3" max="3" width="14.42578125" style="16" customWidth="1"/>
    <col min="4" max="23" width="14.42578125" style="16" hidden="1" customWidth="1" outlineLevel="1"/>
    <col min="24" max="24" width="14.42578125" style="16" customWidth="1" collapsed="1"/>
    <col min="25" max="28" width="14.42578125" style="16" customWidth="1"/>
    <col min="29" max="16384" width="10.28515625" style="16"/>
  </cols>
  <sheetData>
    <row r="1" spans="1:28" x14ac:dyDescent="0.3">
      <c r="A1" s="34" t="s">
        <v>53</v>
      </c>
      <c r="B1" s="35"/>
    </row>
    <row r="2" spans="1:28" x14ac:dyDescent="0.3">
      <c r="A2" s="36"/>
      <c r="B2" s="35"/>
    </row>
    <row r="3" spans="1:28" x14ac:dyDescent="0.3">
      <c r="A3" s="36"/>
      <c r="B3" s="35"/>
      <c r="D3" s="17">
        <v>45292</v>
      </c>
      <c r="E3" s="17">
        <v>45323</v>
      </c>
      <c r="F3" s="17">
        <v>45352</v>
      </c>
      <c r="G3" s="17">
        <v>45383</v>
      </c>
      <c r="H3" s="17">
        <v>45413</v>
      </c>
      <c r="I3" s="17">
        <v>45444</v>
      </c>
      <c r="J3" s="17">
        <v>45474</v>
      </c>
      <c r="K3" s="17">
        <v>45505</v>
      </c>
      <c r="L3" s="17">
        <v>45536</v>
      </c>
      <c r="M3" s="17">
        <v>45566</v>
      </c>
      <c r="N3" s="17">
        <v>45597</v>
      </c>
      <c r="O3" s="17">
        <v>45627</v>
      </c>
      <c r="P3" s="17">
        <v>45658</v>
      </c>
      <c r="Q3" s="17">
        <v>45689</v>
      </c>
      <c r="R3" s="17">
        <v>45717</v>
      </c>
      <c r="S3" s="17">
        <v>45748</v>
      </c>
      <c r="T3" s="17">
        <v>45778</v>
      </c>
      <c r="U3" s="17">
        <v>45809</v>
      </c>
      <c r="V3" s="17">
        <v>45839</v>
      </c>
      <c r="W3" s="17">
        <v>45870</v>
      </c>
      <c r="X3" s="17">
        <v>45901</v>
      </c>
      <c r="Y3" s="17">
        <v>45931</v>
      </c>
      <c r="Z3" s="17">
        <v>45962</v>
      </c>
      <c r="AA3" s="17">
        <v>45992</v>
      </c>
      <c r="AB3" s="17">
        <v>46023</v>
      </c>
    </row>
    <row r="4" spans="1:28" ht="8.1" customHeight="1" x14ac:dyDescent="0.3">
      <c r="A4" s="18"/>
      <c r="B4" s="19"/>
      <c r="C4" s="19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28" x14ac:dyDescent="0.3">
      <c r="A5" s="20" t="s">
        <v>54</v>
      </c>
      <c r="B5" s="21" t="s">
        <v>55</v>
      </c>
      <c r="C5" s="21"/>
    </row>
    <row r="6" spans="1:28" x14ac:dyDescent="0.3">
      <c r="B6" s="23" t="s">
        <v>6</v>
      </c>
      <c r="C6" s="45">
        <f>SUM(D6:XFD6)</f>
        <v>5241.3892049430124</v>
      </c>
      <c r="D6" s="46">
        <f>(D67/D$94)*_xlfn.XLOOKUP(D$3,'Fund Management'!$A:$A,'Fund Management'!$F:$F)</f>
        <v>197.16814292858626</v>
      </c>
      <c r="E6" s="46">
        <f>(E67/E$94)*_xlfn.XLOOKUP(E$3,'Fund Management'!$A:$A,'Fund Management'!$F:$F)</f>
        <v>26.803682613937227</v>
      </c>
      <c r="F6" s="46">
        <f>(F67/F$94)*_xlfn.XLOOKUP(F$3,'Fund Management'!$A:$A,'Fund Management'!$F:$F)</f>
        <v>-95.638810752501868</v>
      </c>
      <c r="G6" s="46">
        <f>(G67/G$94)*_xlfn.XLOOKUP(G$3,'Fund Management'!$A:$A,'Fund Management'!$F:$F)</f>
        <v>-341.8053596430795</v>
      </c>
      <c r="H6" s="46">
        <f>(H67/H$94)*_xlfn.XLOOKUP(H$3,'Fund Management'!$A:$A,'Fund Management'!$F:$F)</f>
        <v>-100.20386761645149</v>
      </c>
      <c r="I6" s="46">
        <f>(I67/I$94)*_xlfn.XLOOKUP(I$3,'Fund Management'!$A:$A,'Fund Management'!$F:$F)</f>
        <v>42.838217789648674</v>
      </c>
      <c r="J6" s="46">
        <f>(J67/J$94)*_xlfn.XLOOKUP(J$3,'Fund Management'!$A:$A,'Fund Management'!$F:$F)</f>
        <v>21.813287784873943</v>
      </c>
      <c r="K6" s="46">
        <f>(K67/K$94)*_xlfn.XLOOKUP(K$3,'Fund Management'!$A:$A,'Fund Management'!$F:$F)</f>
        <v>65.73636319411419</v>
      </c>
      <c r="L6" s="46">
        <f>(L67/L$94)*_xlfn.XLOOKUP(L$3,'Fund Management'!$A:$A,'Fund Management'!$F:$F)</f>
        <v>-82.041885735637081</v>
      </c>
      <c r="M6" s="46">
        <f>(M67/M$94)*_xlfn.XLOOKUP(M$3,'Fund Management'!$A:$A,'Fund Management'!$F:$F)</f>
        <v>859.80374422452041</v>
      </c>
      <c r="N6" s="46">
        <f>(N67/N$94)*_xlfn.XLOOKUP(N$3,'Fund Management'!$A:$A,'Fund Management'!$F:$F)</f>
        <v>18.452151801455134</v>
      </c>
      <c r="O6" s="46">
        <f>(O67/O$94)*_xlfn.XLOOKUP(O$3,'Fund Management'!$A:$A,'Fund Management'!$F:$F)</f>
        <v>89.316235370188295</v>
      </c>
      <c r="P6" s="46">
        <f>(P67/P$94)*_xlfn.XLOOKUP(P$3,'Fund Management'!$A:$A,'Fund Management'!$F:$F)</f>
        <v>126.58839827380422</v>
      </c>
      <c r="Q6" s="46">
        <f>(Q67/Q$94)*_xlfn.XLOOKUP(Q$3,'Fund Management'!$A:$A,'Fund Management'!$F:$F)</f>
        <v>20.262113652035115</v>
      </c>
      <c r="R6" s="46">
        <f>(R67/R$94)*_xlfn.XLOOKUP(R$3,'Fund Management'!$A:$A,'Fund Management'!$F:$F)</f>
        <v>199.40224365557967</v>
      </c>
      <c r="S6" s="46">
        <f>(S67/S$94)*_xlfn.XLOOKUP(S$3,'Fund Management'!$A:$A,'Fund Management'!$F:$F)</f>
        <v>3464.8444771795748</v>
      </c>
      <c r="T6" s="46">
        <f>(T67/T$94)*_xlfn.XLOOKUP(T$3,'Fund Management'!$A:$A,'Fund Management'!$F:$F)</f>
        <v>2.8586965030407674</v>
      </c>
      <c r="U6" s="46">
        <f>(U67/U$94)*_xlfn.XLOOKUP(U$3,'Fund Management'!$A:$A,'Fund Management'!$F:$F)</f>
        <v>-5.0758208803551925</v>
      </c>
      <c r="V6" s="46">
        <f>(V67/V$94)*_xlfn.XLOOKUP(V$3,'Fund Management'!$A:$A,'Fund Management'!$F:$F)</f>
        <v>47.071980139749002</v>
      </c>
      <c r="W6" s="46">
        <f>(W67/W$94)*_xlfn.XLOOKUP(W$3,'Fund Management'!$A:$A,'Fund Management'!$F:$F)</f>
        <v>683.19521445992962</v>
      </c>
      <c r="X6" s="46">
        <f>(X67/X$94)*_xlfn.XLOOKUP(X$3,'Fund Management'!$A:$A,'Fund Management'!$F:$F)</f>
        <v>0</v>
      </c>
      <c r="Y6" s="46">
        <f>(Y67/Y$94)*_xlfn.XLOOKUP(Y$3,'Fund Management'!$A:$A,'Fund Management'!$F:$F)</f>
        <v>0</v>
      </c>
      <c r="Z6" s="46">
        <f>(Z67/Z$94)*_xlfn.XLOOKUP(Z$3,'Fund Management'!$A:$A,'Fund Management'!$F:$F)</f>
        <v>0</v>
      </c>
      <c r="AA6" s="46"/>
      <c r="AB6" s="46"/>
    </row>
    <row r="7" spans="1:28" x14ac:dyDescent="0.3">
      <c r="B7" s="23" t="s">
        <v>7</v>
      </c>
      <c r="C7" s="45">
        <f>SUM(D7:XFD7)</f>
        <v>5519.6223792830351</v>
      </c>
      <c r="D7" s="46">
        <f>(D68/D$94)*_xlfn.XLOOKUP(D$3,'Fund Management'!$A:$A,'Fund Management'!$F:$F)</f>
        <v>179.16188981170848</v>
      </c>
      <c r="E7" s="46">
        <f>(E68/E$94)*_xlfn.XLOOKUP(E$3,'Fund Management'!$A:$A,'Fund Management'!$F:$F)</f>
        <v>21.377308093877616</v>
      </c>
      <c r="F7" s="46">
        <f>(F68/F$94)*_xlfn.XLOOKUP(F$3,'Fund Management'!$A:$A,'Fund Management'!$F:$F)</f>
        <v>-76.276844217115155</v>
      </c>
      <c r="G7" s="46">
        <f>(G68/G$94)*_xlfn.XLOOKUP(G$3,'Fund Management'!$A:$A,'Fund Management'!$F:$F)</f>
        <v>-272.60726022137584</v>
      </c>
      <c r="H7" s="46">
        <f>(H68/H$94)*_xlfn.XLOOKUP(H$3,'Fund Management'!$A:$A,'Fund Management'!$F:$F)</f>
        <v>-79.917710602989246</v>
      </c>
      <c r="I7" s="46">
        <f>(I68/I$94)*_xlfn.XLOOKUP(I$3,'Fund Management'!$A:$A,'Fund Management'!$F:$F)</f>
        <v>34.16567018316259</v>
      </c>
      <c r="J7" s="46">
        <f>(J68/J$94)*_xlfn.XLOOKUP(J$3,'Fund Management'!$A:$A,'Fund Management'!$F:$F)</f>
        <v>17.397212921600502</v>
      </c>
      <c r="K7" s="46">
        <f>(K68/K$94)*_xlfn.XLOOKUP(K$3,'Fund Management'!$A:$A,'Fund Management'!$F:$F)</f>
        <v>52.428112554985766</v>
      </c>
      <c r="L7" s="46">
        <f>(L68/L$94)*_xlfn.XLOOKUP(L$3,'Fund Management'!$A:$A,'Fund Management'!$F:$F)</f>
        <v>-65.432600931540208</v>
      </c>
      <c r="M7" s="46">
        <f>(M68/M$94)*_xlfn.XLOOKUP(M$3,'Fund Management'!$A:$A,'Fund Management'!$F:$F)</f>
        <v>685.73747142490936</v>
      </c>
      <c r="N7" s="46">
        <f>(N68/N$94)*_xlfn.XLOOKUP(N$3,'Fund Management'!$A:$A,'Fund Management'!$F:$F)</f>
        <v>14.716535027526312</v>
      </c>
      <c r="O7" s="46">
        <f>(O68/O$94)*_xlfn.XLOOKUP(O$3,'Fund Management'!$A:$A,'Fund Management'!$F:$F)</f>
        <v>71.234266902600766</v>
      </c>
      <c r="P7" s="46">
        <f>(P68/P$94)*_xlfn.XLOOKUP(P$3,'Fund Management'!$A:$A,'Fund Management'!$F:$F)</f>
        <v>100.96072356872654</v>
      </c>
      <c r="Q7" s="46">
        <f>(Q68/Q$94)*_xlfn.XLOOKUP(Q$3,'Fund Management'!$A:$A,'Fund Management'!$F:$F)</f>
        <v>16.160072196478399</v>
      </c>
      <c r="R7" s="46">
        <f>(R68/R$94)*_xlfn.XLOOKUP(R$3,'Fund Management'!$A:$A,'Fund Management'!$F:$F)</f>
        <v>159.03349023463269</v>
      </c>
      <c r="S7" s="46">
        <f>(S68/S$94)*_xlfn.XLOOKUP(S$3,'Fund Management'!$A:$A,'Fund Management'!$F:$F)</f>
        <v>2763.3907233151645</v>
      </c>
      <c r="T7" s="46">
        <f>(T68/T$94)*_xlfn.XLOOKUP(T$3,'Fund Management'!$A:$A,'Fund Management'!$F:$F)</f>
        <v>2.2799567049274327</v>
      </c>
      <c r="U7" s="46">
        <f>(U68/U$94)*_xlfn.XLOOKUP(U$3,'Fund Management'!$A:$A,'Fund Management'!$F:$F)</f>
        <v>-13.269337444467569</v>
      </c>
      <c r="V7" s="46">
        <f>(V68/V$94)*_xlfn.XLOOKUP(V$3,'Fund Management'!$A:$A,'Fund Management'!$F:$F)</f>
        <v>123.05674360398163</v>
      </c>
      <c r="W7" s="46">
        <f>(W68/W$94)*_xlfn.XLOOKUP(W$3,'Fund Management'!$A:$A,'Fund Management'!$F:$F)</f>
        <v>1786.0259561562409</v>
      </c>
      <c r="X7" s="46">
        <f>(X68/X$94)*_xlfn.XLOOKUP(X$3,'Fund Management'!$A:$A,'Fund Management'!$F:$F)</f>
        <v>0</v>
      </c>
      <c r="Y7" s="46">
        <f>(Y68/Y$94)*_xlfn.XLOOKUP(Y$3,'Fund Management'!$A:$A,'Fund Management'!$F:$F)</f>
        <v>0</v>
      </c>
      <c r="Z7" s="46">
        <f>(Z68/Z$94)*_xlfn.XLOOKUP(Z$3,'Fund Management'!$A:$A,'Fund Management'!$F:$F)</f>
        <v>0</v>
      </c>
      <c r="AA7" s="46"/>
      <c r="AB7" s="46"/>
    </row>
    <row r="8" spans="1:28" x14ac:dyDescent="0.3">
      <c r="B8" s="23" t="s">
        <v>18</v>
      </c>
      <c r="C8" s="45">
        <f>SUM(D8:XFD8)</f>
        <v>1039.2029684604045</v>
      </c>
      <c r="D8" s="46">
        <f>(D69/D$94)*_xlfn.XLOOKUP(D$3,'Fund Management'!$A:$A,'Fund Management'!$F:$F)</f>
        <v>18.006253116877762</v>
      </c>
      <c r="E8" s="46">
        <f>(E69/E$94)*_xlfn.XLOOKUP(E$3,'Fund Management'!$A:$A,'Fund Management'!$F:$F)</f>
        <v>5.426374520059607</v>
      </c>
      <c r="F8" s="46">
        <f>(F69/F$94)*_xlfn.XLOOKUP(F$3,'Fund Management'!$A:$A,'Fund Management'!$F:$F)</f>
        <v>-19.361966535386699</v>
      </c>
      <c r="G8" s="46">
        <f>(G69/G$94)*_xlfn.XLOOKUP(G$3,'Fund Management'!$A:$A,'Fund Management'!$F:$F)</f>
        <v>-69.198099421703603</v>
      </c>
      <c r="H8" s="46">
        <f>(H69/H$94)*_xlfn.XLOOKUP(H$3,'Fund Management'!$A:$A,'Fund Management'!$F:$F)</f>
        <v>-20.28615701346223</v>
      </c>
      <c r="I8" s="46">
        <f>(I69/I$94)*_xlfn.XLOOKUP(I$3,'Fund Management'!$A:$A,'Fund Management'!$F:$F)</f>
        <v>8.6725476064860754</v>
      </c>
      <c r="J8" s="46">
        <f>(J69/J$94)*_xlfn.XLOOKUP(J$3,'Fund Management'!$A:$A,'Fund Management'!$F:$F)</f>
        <v>4.4160748632734368</v>
      </c>
      <c r="K8" s="46">
        <f>(K69/K$94)*_xlfn.XLOOKUP(K$3,'Fund Management'!$A:$A,'Fund Management'!$F:$F)</f>
        <v>13.308250639128421</v>
      </c>
      <c r="L8" s="46">
        <f>(L69/L$94)*_xlfn.XLOOKUP(L$3,'Fund Management'!$A:$A,'Fund Management'!$F:$F)</f>
        <v>-16.609284804096859</v>
      </c>
      <c r="M8" s="46">
        <f>(M69/M$94)*_xlfn.XLOOKUP(M$3,'Fund Management'!$A:$A,'Fund Management'!$F:$F)</f>
        <v>174.06627279961089</v>
      </c>
      <c r="N8" s="46">
        <f>(N69/N$94)*_xlfn.XLOOKUP(N$3,'Fund Management'!$A:$A,'Fund Management'!$F:$F)</f>
        <v>3.7356167739288173</v>
      </c>
      <c r="O8" s="46">
        <f>(O69/O$94)*_xlfn.XLOOKUP(O$3,'Fund Management'!$A:$A,'Fund Management'!$F:$F)</f>
        <v>18.081968467587505</v>
      </c>
      <c r="P8" s="46">
        <f>(P69/P$94)*_xlfn.XLOOKUP(P$3,'Fund Management'!$A:$A,'Fund Management'!$F:$F)</f>
        <v>25.627674705077652</v>
      </c>
      <c r="Q8" s="46">
        <f>(Q69/Q$94)*_xlfn.XLOOKUP(Q$3,'Fund Management'!$A:$A,'Fund Management'!$F:$F)</f>
        <v>4.102041455556714</v>
      </c>
      <c r="R8" s="46">
        <f>(R69/R$94)*_xlfn.XLOOKUP(R$3,'Fund Management'!$A:$A,'Fund Management'!$F:$F)</f>
        <v>40.368753420946959</v>
      </c>
      <c r="S8" s="46">
        <f>(S69/S$94)*_xlfn.XLOOKUP(S$3,'Fund Management'!$A:$A,'Fund Management'!$F:$F)</f>
        <v>701.45375386441026</v>
      </c>
      <c r="T8" s="46">
        <f>(T69/T$94)*_xlfn.XLOOKUP(T$3,'Fund Management'!$A:$A,'Fund Management'!$F:$F)</f>
        <v>0.57873979811333431</v>
      </c>
      <c r="U8" s="46">
        <f>(U69/U$94)*_xlfn.XLOOKUP(U$3,'Fund Management'!$A:$A,'Fund Management'!$F:$F)</f>
        <v>-1.0275940619899793</v>
      </c>
      <c r="V8" s="46">
        <f>(V69/V$94)*_xlfn.XLOOKUP(V$3,'Fund Management'!$A:$A,'Fund Management'!$F:$F)</f>
        <v>9.5296678937046018</v>
      </c>
      <c r="W8" s="46">
        <f>(W69/W$94)*_xlfn.XLOOKUP(W$3,'Fund Management'!$A:$A,'Fund Management'!$F:$F)</f>
        <v>138.31208037228188</v>
      </c>
      <c r="X8" s="46">
        <f>(X69/X$94)*_xlfn.XLOOKUP(X$3,'Fund Management'!$A:$A,'Fund Management'!$F:$F)</f>
        <v>0</v>
      </c>
      <c r="Y8" s="46">
        <f>(Y69/Y$94)*_xlfn.XLOOKUP(Y$3,'Fund Management'!$A:$A,'Fund Management'!$F:$F)</f>
        <v>0</v>
      </c>
      <c r="Z8" s="46">
        <f>(Z69/Z$94)*_xlfn.XLOOKUP(Z$3,'Fund Management'!$A:$A,'Fund Management'!$F:$F)</f>
        <v>0</v>
      </c>
      <c r="AA8" s="46"/>
      <c r="AB8" s="46"/>
    </row>
    <row r="9" spans="1:28" x14ac:dyDescent="0.3">
      <c r="B9" s="23" t="s">
        <v>11</v>
      </c>
      <c r="C9" s="45">
        <f>SUM(D9:XFD9)</f>
        <v>714.44761470752064</v>
      </c>
      <c r="D9" s="46">
        <f>(D70/D$94)*_xlfn.XLOOKUP(D$3,'Fund Management'!$A:$A,'Fund Management'!$F:$F)</f>
        <v>18.006253116877762</v>
      </c>
      <c r="E9" s="46">
        <f>(E70/E$94)*_xlfn.XLOOKUP(E$3,'Fund Management'!$A:$A,'Fund Management'!$F:$F)</f>
        <v>3.7007087884921281</v>
      </c>
      <c r="F9" s="46">
        <f>(F70/F$94)*_xlfn.XLOOKUP(F$3,'Fund Management'!$A:$A,'Fund Management'!$F:$F)</f>
        <v>-13.204580600752372</v>
      </c>
      <c r="G9" s="46">
        <f>(G70/G$94)*_xlfn.XLOOKUP(G$3,'Fund Management'!$A:$A,'Fund Management'!$F:$F)</f>
        <v>-47.192101048351091</v>
      </c>
      <c r="H9" s="46">
        <f>(H70/H$94)*_xlfn.XLOOKUP(H$3,'Fund Management'!$A:$A,'Fund Management'!$F:$F)</f>
        <v>-13.834865114254267</v>
      </c>
      <c r="I9" s="46">
        <f>(I70/I$94)*_xlfn.XLOOKUP(I$3,'Fund Management'!$A:$A,'Fund Management'!$F:$F)</f>
        <v>5.9145517927846312</v>
      </c>
      <c r="J9" s="46">
        <f>(J70/J$94)*_xlfn.XLOOKUP(J$3,'Fund Management'!$A:$A,'Fund Management'!$F:$F)</f>
        <v>3.0116990629271316</v>
      </c>
      <c r="K9" s="46">
        <f>(K70/K$94)*_xlfn.XLOOKUP(K$3,'Fund Management'!$A:$A,'Fund Management'!$F:$F)</f>
        <v>9.0760340845654586</v>
      </c>
      <c r="L9" s="46">
        <f>(L70/L$94)*_xlfn.XLOOKUP(L$3,'Fund Management'!$A:$A,'Fund Management'!$F:$F)</f>
        <v>-11.327291549425679</v>
      </c>
      <c r="M9" s="46">
        <f>(M70/M$94)*_xlfn.XLOOKUP(M$3,'Fund Management'!$A:$A,'Fund Management'!$F:$F)</f>
        <v>118.71067563587785</v>
      </c>
      <c r="N9" s="46">
        <f>(N70/N$94)*_xlfn.XLOOKUP(N$3,'Fund Management'!$A:$A,'Fund Management'!$F:$F)</f>
        <v>2.54763650658693</v>
      </c>
      <c r="O9" s="46">
        <f>(O70/O$94)*_xlfn.XLOOKUP(O$3,'Fund Management'!$A:$A,'Fund Management'!$F:$F)</f>
        <v>12.331640467105755</v>
      </c>
      <c r="P9" s="46">
        <f>(P70/P$94)*_xlfn.XLOOKUP(P$3,'Fund Management'!$A:$A,'Fund Management'!$F:$F)</f>
        <v>17.477702775417072</v>
      </c>
      <c r="Q9" s="46">
        <f>(Q70/Q$94)*_xlfn.XLOOKUP(Q$3,'Fund Management'!$A:$A,'Fund Management'!$F:$F)</f>
        <v>2.797532829556892</v>
      </c>
      <c r="R9" s="46">
        <f>(R70/R$94)*_xlfn.XLOOKUP(R$3,'Fund Management'!$A:$A,'Fund Management'!$F:$F)</f>
        <v>27.530904845050955</v>
      </c>
      <c r="S9" s="46">
        <f>(S70/S$94)*_xlfn.XLOOKUP(S$3,'Fund Management'!$A:$A,'Fund Management'!$F:$F)</f>
        <v>478.38129529222073</v>
      </c>
      <c r="T9" s="46">
        <f>(T70/T$94)*_xlfn.XLOOKUP(T$3,'Fund Management'!$A:$A,'Fund Management'!$F:$F)</f>
        <v>0.39469215573138328</v>
      </c>
      <c r="U9" s="46">
        <f>(U70/U$94)*_xlfn.XLOOKUP(U$3,'Fund Management'!$A:$A,'Fund Management'!$F:$F)</f>
        <v>-0.70080425929887125</v>
      </c>
      <c r="V9" s="46">
        <f>(V70/V$94)*_xlfn.XLOOKUP(V$3,'Fund Management'!$A:$A,'Fund Management'!$F:$F)</f>
        <v>6.4990954080435461</v>
      </c>
      <c r="W9" s="46">
        <f>(W70/W$94)*_xlfn.XLOOKUP(W$3,'Fund Management'!$A:$A,'Fund Management'!$F:$F)</f>
        <v>94.326834518364706</v>
      </c>
      <c r="X9" s="46">
        <f>(X70/X$94)*_xlfn.XLOOKUP(X$3,'Fund Management'!$A:$A,'Fund Management'!$F:$F)</f>
        <v>0</v>
      </c>
      <c r="Y9" s="46">
        <f>(Y70/Y$94)*_xlfn.XLOOKUP(Y$3,'Fund Management'!$A:$A,'Fund Management'!$F:$F)</f>
        <v>0</v>
      </c>
      <c r="Z9" s="46">
        <f>(Z70/Z$94)*_xlfn.XLOOKUP(Z$3,'Fund Management'!$A:$A,'Fund Management'!$F:$F)</f>
        <v>0</v>
      </c>
      <c r="AA9" s="46"/>
      <c r="AB9" s="46"/>
    </row>
    <row r="10" spans="1:28" x14ac:dyDescent="0.3">
      <c r="B10" s="23" t="s">
        <v>13</v>
      </c>
      <c r="C10" s="45">
        <f>SUM(D10:XFD10)</f>
        <v>552.06993783107862</v>
      </c>
      <c r="D10" s="46">
        <f>(D71/D$94)*_xlfn.XLOOKUP(D$3,'Fund Management'!$A:$A,'Fund Management'!$F:$F)</f>
        <v>18.006253116877762</v>
      </c>
      <c r="E10" s="46">
        <f>(E71/E$94)*_xlfn.XLOOKUP(E$3,'Fund Management'!$A:$A,'Fund Management'!$F:$F)</f>
        <v>2.8378759227083892</v>
      </c>
      <c r="F10" s="46">
        <f>(F71/F$94)*_xlfn.XLOOKUP(F$3,'Fund Management'!$A:$A,'Fund Management'!$F:$F)</f>
        <v>-10.125887633435209</v>
      </c>
      <c r="G10" s="46">
        <f>(G71/G$94)*_xlfn.XLOOKUP(G$3,'Fund Management'!$A:$A,'Fund Management'!$F:$F)</f>
        <v>-36.189101861674828</v>
      </c>
      <c r="H10" s="46">
        <f>(H71/H$94)*_xlfn.XLOOKUP(H$3,'Fund Management'!$A:$A,'Fund Management'!$F:$F)</f>
        <v>-10.609219164650288</v>
      </c>
      <c r="I10" s="46">
        <f>(I71/I$94)*_xlfn.XLOOKUP(I$3,'Fund Management'!$A:$A,'Fund Management'!$F:$F)</f>
        <v>4.5355538859339086</v>
      </c>
      <c r="J10" s="46">
        <f>(J71/J$94)*_xlfn.XLOOKUP(J$3,'Fund Management'!$A:$A,'Fund Management'!$F:$F)</f>
        <v>2.3095111627539788</v>
      </c>
      <c r="K10" s="46">
        <f>(K71/K$94)*_xlfn.XLOOKUP(K$3,'Fund Management'!$A:$A,'Fund Management'!$F:$F)</f>
        <v>6.9599258072839785</v>
      </c>
      <c r="L10" s="46">
        <f>(L71/L$94)*_xlfn.XLOOKUP(L$3,'Fund Management'!$A:$A,'Fund Management'!$F:$F)</f>
        <v>-8.686294922090088</v>
      </c>
      <c r="M10" s="46">
        <f>(M71/M$94)*_xlfn.XLOOKUP(M$3,'Fund Management'!$A:$A,'Fund Management'!$F:$F)</f>
        <v>91.032877054011323</v>
      </c>
      <c r="N10" s="46">
        <f>(N71/N$94)*_xlfn.XLOOKUP(N$3,'Fund Management'!$A:$A,'Fund Management'!$F:$F)</f>
        <v>1.9536463729159863</v>
      </c>
      <c r="O10" s="46">
        <f>(O71/O$94)*_xlfn.XLOOKUP(O$3,'Fund Management'!$A:$A,'Fund Management'!$F:$F)</f>
        <v>9.4564764668648795</v>
      </c>
      <c r="P10" s="46">
        <f>(P71/P$94)*_xlfn.XLOOKUP(P$3,'Fund Management'!$A:$A,'Fund Management'!$F:$F)</f>
        <v>13.402716810586782</v>
      </c>
      <c r="Q10" s="46">
        <f>(Q71/Q$94)*_xlfn.XLOOKUP(Q$3,'Fund Management'!$A:$A,'Fund Management'!$F:$F)</f>
        <v>2.145278516556981</v>
      </c>
      <c r="R10" s="46">
        <f>(R71/R$94)*_xlfn.XLOOKUP(R$3,'Fund Management'!$A:$A,'Fund Management'!$F:$F)</f>
        <v>21.111980557102953</v>
      </c>
      <c r="S10" s="46">
        <f>(S71/S$94)*_xlfn.XLOOKUP(S$3,'Fund Management'!$A:$A,'Fund Management'!$F:$F)</f>
        <v>366.84506600612593</v>
      </c>
      <c r="T10" s="46">
        <f>(T71/T$94)*_xlfn.XLOOKUP(T$3,'Fund Management'!$A:$A,'Fund Management'!$F:$F)</f>
        <v>0.3026683345404077</v>
      </c>
      <c r="U10" s="46">
        <f>(U71/U$94)*_xlfn.XLOOKUP(U$3,'Fund Management'!$A:$A,'Fund Management'!$F:$F)</f>
        <v>-0.53740935795331735</v>
      </c>
      <c r="V10" s="46">
        <f>(V71/V$94)*_xlfn.XLOOKUP(V$3,'Fund Management'!$A:$A,'Fund Management'!$F:$F)</f>
        <v>4.9838091652130174</v>
      </c>
      <c r="W10" s="46">
        <f>(W71/W$94)*_xlfn.XLOOKUP(W$3,'Fund Management'!$A:$A,'Fund Management'!$F:$F)</f>
        <v>72.334211591406103</v>
      </c>
      <c r="X10" s="46">
        <f>(X71/X$94)*_xlfn.XLOOKUP(X$3,'Fund Management'!$A:$A,'Fund Management'!$F:$F)</f>
        <v>0</v>
      </c>
      <c r="Y10" s="46">
        <f>(Y71/Y$94)*_xlfn.XLOOKUP(Y$3,'Fund Management'!$A:$A,'Fund Management'!$F:$F)</f>
        <v>0</v>
      </c>
      <c r="Z10" s="46">
        <f>(Z71/Z$94)*_xlfn.XLOOKUP(Z$3,'Fund Management'!$A:$A,'Fund Management'!$F:$F)</f>
        <v>0</v>
      </c>
      <c r="AA10" s="46"/>
      <c r="AB10" s="46"/>
    </row>
    <row r="11" spans="1:28" x14ac:dyDescent="0.3">
      <c r="B11" s="23" t="s">
        <v>21</v>
      </c>
      <c r="C11" s="45">
        <f>SUM(D11:XFD11)</f>
        <v>361.28410559434963</v>
      </c>
      <c r="D11" s="46">
        <f>(D72/D$94)*_xlfn.XLOOKUP(D$3,'Fund Management'!$A:$A,'Fund Management'!$F:$F)</f>
        <v>9.0031265584388809</v>
      </c>
      <c r="E11" s="46">
        <f>(E72/E$94)*_xlfn.XLOOKUP(E$3,'Fund Management'!$A:$A,'Fund Management'!$F:$F)</f>
        <v>0.98752152846232499</v>
      </c>
      <c r="F11" s="46">
        <f>(F72/F$94)*_xlfn.XLOOKUP(F$3,'Fund Management'!$A:$A,'Fund Management'!$F:$F)</f>
        <v>-3.5235973330590218</v>
      </c>
      <c r="G11" s="46">
        <f>(G72/G$94)*_xlfn.XLOOKUP(G$3,'Fund Management'!$A:$A,'Fund Management'!$F:$F)</f>
        <v>-12.593051337499286</v>
      </c>
      <c r="H11" s="46">
        <f>(H72/H$94)*_xlfn.XLOOKUP(H$3,'Fund Management'!$A:$A,'Fund Management'!$F:$F)</f>
        <v>-3.6917866075231531</v>
      </c>
      <c r="I11" s="46">
        <f>(I72/I$94)*_xlfn.XLOOKUP(I$3,'Fund Management'!$A:$A,'Fund Management'!$F:$F)</f>
        <v>1.5782779895415937</v>
      </c>
      <c r="J11" s="46">
        <f>(J72/J$94)*_xlfn.XLOOKUP(J$3,'Fund Management'!$A:$A,'Fund Management'!$F:$F)</f>
        <v>0.80366163129041324</v>
      </c>
      <c r="K11" s="46">
        <f>(K72/K$94)*_xlfn.XLOOKUP(K$3,'Fund Management'!$A:$A,'Fund Management'!$F:$F)</f>
        <v>2.4219087650012496</v>
      </c>
      <c r="L11" s="46">
        <f>(L72/L$94)*_xlfn.XLOOKUP(L$3,'Fund Management'!$A:$A,'Fund Management'!$F:$F)</f>
        <v>-3.022649147377249</v>
      </c>
      <c r="M11" s="46">
        <f>(M72/M$94)*_xlfn.XLOOKUP(M$3,'Fund Management'!$A:$A,'Fund Management'!$F:$F)</f>
        <v>31.677539236072406</v>
      </c>
      <c r="N11" s="46">
        <f>(N72/N$94)*_xlfn.XLOOKUP(N$3,'Fund Management'!$A:$A,'Fund Management'!$F:$F)</f>
        <v>0.67982811962252143</v>
      </c>
      <c r="O11" s="46">
        <f>(O72/O$94)*_xlfn.XLOOKUP(O$3,'Fund Management'!$A:$A,'Fund Management'!$F:$F)</f>
        <v>3.2906562333120033</v>
      </c>
      <c r="P11" s="46">
        <f>(P72/P$94)*_xlfn.XLOOKUP(P$3,'Fund Management'!$A:$A,'Fund Management'!$F:$F)</f>
        <v>4.6638654228782475</v>
      </c>
      <c r="Q11" s="46">
        <f>(Q72/Q$94)*_xlfn.XLOOKUP(Q$3,'Fund Management'!$A:$A,'Fund Management'!$F:$F)</f>
        <v>0.74651210177853489</v>
      </c>
      <c r="R11" s="46">
        <f>(R72/R$94)*_xlfn.XLOOKUP(R$3,'Fund Management'!$A:$A,'Fund Management'!$F:$F)</f>
        <v>7.3465281345774756</v>
      </c>
      <c r="S11" s="46">
        <f>(S72/S$94)*_xlfn.XLOOKUP(S$3,'Fund Management'!$A:$A,'Fund Management'!$F:$F)</f>
        <v>127.6544183600156</v>
      </c>
      <c r="T11" s="46">
        <f>(T72/T$94)*_xlfn.XLOOKUP(T$3,'Fund Management'!$A:$A,'Fund Management'!$F:$F)</f>
        <v>0.75884277250259591</v>
      </c>
      <c r="U11" s="46">
        <f>(U72/U$94)*_xlfn.XLOOKUP(U$3,'Fund Management'!$A:$A,'Fund Management'!$F:$F)</f>
        <v>-1.3473798234538825</v>
      </c>
      <c r="V11" s="46">
        <f>(V72/V$94)*_xlfn.XLOOKUP(V$3,'Fund Management'!$A:$A,'Fund Management'!$F:$F)</f>
        <v>12.495286533019158</v>
      </c>
      <c r="W11" s="46">
        <f>(W72/W$94)*_xlfn.XLOOKUP(W$3,'Fund Management'!$A:$A,'Fund Management'!$F:$F)</f>
        <v>181.35459645674919</v>
      </c>
      <c r="X11" s="46">
        <f>(X72/X$94)*_xlfn.XLOOKUP(X$3,'Fund Management'!$A:$A,'Fund Management'!$F:$F)</f>
        <v>0</v>
      </c>
      <c r="Y11" s="46">
        <f>(Y72/Y$94)*_xlfn.XLOOKUP(Y$3,'Fund Management'!$A:$A,'Fund Management'!$F:$F)</f>
        <v>0</v>
      </c>
      <c r="Z11" s="46">
        <f>(Z72/Z$94)*_xlfn.XLOOKUP(Z$3,'Fund Management'!$A:$A,'Fund Management'!$F:$F)</f>
        <v>0</v>
      </c>
      <c r="AA11" s="46"/>
      <c r="AB11" s="46"/>
    </row>
    <row r="12" spans="1:28" x14ac:dyDescent="0.3">
      <c r="B12" s="23" t="s">
        <v>15</v>
      </c>
      <c r="C12" s="45">
        <f>SUM(D12:XFD12)</f>
        <v>519.60148423020223</v>
      </c>
      <c r="D12" s="46">
        <f>(D73/D$94)*_xlfn.XLOOKUP(D$3,'Fund Management'!$A:$A,'Fund Management'!$F:$F)</f>
        <v>9.0031265584388809</v>
      </c>
      <c r="E12" s="46">
        <f>(E73/E$94)*_xlfn.XLOOKUP(E$3,'Fund Management'!$A:$A,'Fund Management'!$F:$F)</f>
        <v>2.7131872600298035</v>
      </c>
      <c r="F12" s="46">
        <f>(F73/F$94)*_xlfn.XLOOKUP(F$3,'Fund Management'!$A:$A,'Fund Management'!$F:$F)</f>
        <v>-9.6809832676933496</v>
      </c>
      <c r="G12" s="46">
        <f>(G73/G$94)*_xlfn.XLOOKUP(G$3,'Fund Management'!$A:$A,'Fund Management'!$F:$F)</f>
        <v>-34.599049710851801</v>
      </c>
      <c r="H12" s="46">
        <f>(H73/H$94)*_xlfn.XLOOKUP(H$3,'Fund Management'!$A:$A,'Fund Management'!$F:$F)</f>
        <v>-10.143078506731115</v>
      </c>
      <c r="I12" s="46">
        <f>(I73/I$94)*_xlfn.XLOOKUP(I$3,'Fund Management'!$A:$A,'Fund Management'!$F:$F)</f>
        <v>4.3362738032430377</v>
      </c>
      <c r="J12" s="46">
        <f>(J73/J$94)*_xlfn.XLOOKUP(J$3,'Fund Management'!$A:$A,'Fund Management'!$F:$F)</f>
        <v>2.2080374316367184</v>
      </c>
      <c r="K12" s="46">
        <f>(K73/K$94)*_xlfn.XLOOKUP(K$3,'Fund Management'!$A:$A,'Fund Management'!$F:$F)</f>
        <v>6.6541253195642103</v>
      </c>
      <c r="L12" s="46">
        <f>(L73/L$94)*_xlfn.XLOOKUP(L$3,'Fund Management'!$A:$A,'Fund Management'!$F:$F)</f>
        <v>-8.3046424020484295</v>
      </c>
      <c r="M12" s="46">
        <f>(M73/M$94)*_xlfn.XLOOKUP(M$3,'Fund Management'!$A:$A,'Fund Management'!$F:$F)</f>
        <v>87.033136399805443</v>
      </c>
      <c r="N12" s="46">
        <f>(N73/N$94)*_xlfn.XLOOKUP(N$3,'Fund Management'!$A:$A,'Fund Management'!$F:$F)</f>
        <v>1.8678083869644087</v>
      </c>
      <c r="O12" s="46">
        <f>(O73/O$94)*_xlfn.XLOOKUP(O$3,'Fund Management'!$A:$A,'Fund Management'!$F:$F)</f>
        <v>9.0409842337937523</v>
      </c>
      <c r="P12" s="46">
        <f>(P73/P$94)*_xlfn.XLOOKUP(P$3,'Fund Management'!$A:$A,'Fund Management'!$F:$F)</f>
        <v>12.813837352538826</v>
      </c>
      <c r="Q12" s="46">
        <f>(Q73/Q$94)*_xlfn.XLOOKUP(Q$3,'Fund Management'!$A:$A,'Fund Management'!$F:$F)</f>
        <v>2.051020727778357</v>
      </c>
      <c r="R12" s="46">
        <f>(R73/R$94)*_xlfn.XLOOKUP(R$3,'Fund Management'!$A:$A,'Fund Management'!$F:$F)</f>
        <v>20.184376710473479</v>
      </c>
      <c r="S12" s="46">
        <f>(S73/S$94)*_xlfn.XLOOKUP(S$3,'Fund Management'!$A:$A,'Fund Management'!$F:$F)</f>
        <v>350.72687693220513</v>
      </c>
      <c r="T12" s="46">
        <f>(T73/T$94)*_xlfn.XLOOKUP(T$3,'Fund Management'!$A:$A,'Fund Management'!$F:$F)</f>
        <v>0.28936989905666716</v>
      </c>
      <c r="U12" s="46">
        <f>(U73/U$94)*_xlfn.XLOOKUP(U$3,'Fund Management'!$A:$A,'Fund Management'!$F:$F)</f>
        <v>-0.51379703099498963</v>
      </c>
      <c r="V12" s="46">
        <f>(V73/V$94)*_xlfn.XLOOKUP(V$3,'Fund Management'!$A:$A,'Fund Management'!$F:$F)</f>
        <v>4.7648339468523009</v>
      </c>
      <c r="W12" s="46">
        <f>(W73/W$94)*_xlfn.XLOOKUP(W$3,'Fund Management'!$A:$A,'Fund Management'!$F:$F)</f>
        <v>69.156040186140942</v>
      </c>
      <c r="X12" s="46">
        <f>(X73/X$94)*_xlfn.XLOOKUP(X$3,'Fund Management'!$A:$A,'Fund Management'!$F:$F)</f>
        <v>0</v>
      </c>
      <c r="Y12" s="46">
        <f>(Y73/Y$94)*_xlfn.XLOOKUP(Y$3,'Fund Management'!$A:$A,'Fund Management'!$F:$F)</f>
        <v>0</v>
      </c>
      <c r="Z12" s="46">
        <f>(Z73/Z$94)*_xlfn.XLOOKUP(Z$3,'Fund Management'!$A:$A,'Fund Management'!$F:$F)</f>
        <v>0</v>
      </c>
      <c r="AA12" s="46"/>
      <c r="AB12" s="46"/>
    </row>
    <row r="13" spans="1:28" x14ac:dyDescent="0.3">
      <c r="B13" s="23" t="s">
        <v>17</v>
      </c>
      <c r="C13" s="45">
        <f>SUM(D13:XFD13)</f>
        <v>-36.569172291181438</v>
      </c>
      <c r="D13" s="46">
        <f>(D74/D$94)*_xlfn.XLOOKUP(D$3,'Fund Management'!$A:$A,'Fund Management'!$F:$F)</f>
        <v>9.0031265584388809</v>
      </c>
      <c r="E13" s="46">
        <f>(E74/E$94)*_xlfn.XLOOKUP(E$3,'Fund Management'!$A:$A,'Fund Management'!$F:$F)</f>
        <v>0.98752152846232499</v>
      </c>
      <c r="F13" s="46">
        <f>(F74/F$94)*_xlfn.XLOOKUP(F$3,'Fund Management'!$A:$A,'Fund Management'!$F:$F)</f>
        <v>-3.5235973330590218</v>
      </c>
      <c r="G13" s="46">
        <f>(G74/G$94)*_xlfn.XLOOKUP(G$3,'Fund Management'!$A:$A,'Fund Management'!$F:$F)</f>
        <v>-12.593051337499286</v>
      </c>
      <c r="H13" s="46">
        <f>(H74/H$94)*_xlfn.XLOOKUP(H$3,'Fund Management'!$A:$A,'Fund Management'!$F:$F)</f>
        <v>-3.6917866075231531</v>
      </c>
      <c r="I13" s="46">
        <f>(I74/I$94)*_xlfn.XLOOKUP(I$3,'Fund Management'!$A:$A,'Fund Management'!$F:$F)</f>
        <v>1.5782779895415937</v>
      </c>
      <c r="J13" s="46">
        <f>(J74/J$94)*_xlfn.XLOOKUP(J$3,'Fund Management'!$A:$A,'Fund Management'!$F:$F)</f>
        <v>0.80366163129041324</v>
      </c>
      <c r="K13" s="46">
        <f>(K74/K$94)*_xlfn.XLOOKUP(K$3,'Fund Management'!$A:$A,'Fund Management'!$F:$F)</f>
        <v>2.4219087650012496</v>
      </c>
      <c r="L13" s="46">
        <f>(L74/L$94)*_xlfn.XLOOKUP(L$3,'Fund Management'!$A:$A,'Fund Management'!$F:$F)</f>
        <v>-3.022649147377249</v>
      </c>
      <c r="M13" s="46">
        <f>(M74/M$94)*_xlfn.XLOOKUP(M$3,'Fund Management'!$A:$A,'Fund Management'!$F:$F)</f>
        <v>31.677539236072406</v>
      </c>
      <c r="N13" s="46">
        <f>(N74/N$94)*_xlfn.XLOOKUP(N$3,'Fund Management'!$A:$A,'Fund Management'!$F:$F)</f>
        <v>0.67982811962252143</v>
      </c>
      <c r="O13" s="46">
        <f>(O74/O$94)*_xlfn.XLOOKUP(O$3,'Fund Management'!$A:$A,'Fund Management'!$F:$F)</f>
        <v>3.2906562333120033</v>
      </c>
      <c r="P13" s="46">
        <f>(P74/P$94)*_xlfn.XLOOKUP(P$3,'Fund Management'!$A:$A,'Fund Management'!$F:$F)</f>
        <v>4.6638654228782475</v>
      </c>
      <c r="Q13" s="46">
        <f>(Q74/Q$94)*_xlfn.XLOOKUP(Q$3,'Fund Management'!$A:$A,'Fund Management'!$F:$F)</f>
        <v>0.74651210177853489</v>
      </c>
      <c r="R13" s="46">
        <f>(R74/R$94)*_xlfn.XLOOKUP(R$3,'Fund Management'!$A:$A,'Fund Management'!$F:$F)</f>
        <v>-3.1593035028069423</v>
      </c>
      <c r="S13" s="46">
        <f>(S74/S$94)*_xlfn.XLOOKUP(S$3,'Fund Management'!$A:$A,'Fund Management'!$F:$F)</f>
        <v>-54.896550273236684</v>
      </c>
      <c r="T13" s="46">
        <f>(T74/T$94)*_xlfn.XLOOKUP(T$3,'Fund Management'!$A:$A,'Fund Management'!$F:$F)</f>
        <v>-4.5292819729342772E-2</v>
      </c>
      <c r="U13" s="46">
        <f>(U74/U$94)*_xlfn.XLOOKUP(U$3,'Fund Management'!$A:$A,'Fund Management'!$F:$F)</f>
        <v>8.0420653213036486E-2</v>
      </c>
      <c r="V13" s="46">
        <f>(V74/V$94)*_xlfn.XLOOKUP(V$3,'Fund Management'!$A:$A,'Fund Management'!$F:$F)</f>
        <v>-0.74580239927709813</v>
      </c>
      <c r="W13" s="46">
        <f>(W74/W$94)*_xlfn.XLOOKUP(W$3,'Fund Management'!$A:$A,'Fund Management'!$F:$F)</f>
        <v>-10.824457110283868</v>
      </c>
      <c r="X13" s="46">
        <f>(X74/X$94)*_xlfn.XLOOKUP(X$3,'Fund Management'!$A:$A,'Fund Management'!$F:$F)</f>
        <v>0</v>
      </c>
      <c r="Y13" s="46">
        <f>(Y74/Y$94)*_xlfn.XLOOKUP(Y$3,'Fund Management'!$A:$A,'Fund Management'!$F:$F)</f>
        <v>0</v>
      </c>
      <c r="Z13" s="46">
        <f>(Z74/Z$94)*_xlfn.XLOOKUP(Z$3,'Fund Management'!$A:$A,'Fund Management'!$F:$F)</f>
        <v>0</v>
      </c>
      <c r="AA13" s="46"/>
      <c r="AB13" s="46"/>
    </row>
    <row r="14" spans="1:28" x14ac:dyDescent="0.3">
      <c r="B14" s="23" t="s">
        <v>20</v>
      </c>
      <c r="C14" s="45">
        <f>SUM(D14:XFD14)</f>
        <v>354.5940354860943</v>
      </c>
      <c r="D14" s="46">
        <f>(D75/D$94)*_xlfn.XLOOKUP(D$3,'Fund Management'!$A:$A,'Fund Management'!$F:$F)</f>
        <v>9.0031265584388809</v>
      </c>
      <c r="E14" s="46">
        <f>(E75/E$94)*_xlfn.XLOOKUP(E$3,'Fund Management'!$A:$A,'Fund Management'!$F:$F)</f>
        <v>0.98752152846232499</v>
      </c>
      <c r="F14" s="46">
        <f>(F75/F$94)*_xlfn.XLOOKUP(F$3,'Fund Management'!$A:$A,'Fund Management'!$F:$F)</f>
        <v>-6.5686100358030144</v>
      </c>
      <c r="G14" s="46">
        <f>(G75/G$94)*_xlfn.XLOOKUP(G$3,'Fund Management'!$A:$A,'Fund Management'!$F:$F)</f>
        <v>-23.475679987834411</v>
      </c>
      <c r="H14" s="46">
        <f>(H75/H$94)*_xlfn.XLOOKUP(H$3,'Fund Management'!$A:$A,'Fund Management'!$F:$F)</f>
        <v>-6.8821446573088183</v>
      </c>
      <c r="I14" s="46">
        <f>(I75/I$94)*_xlfn.XLOOKUP(I$3,'Fund Management'!$A:$A,'Fund Management'!$F:$F)</f>
        <v>2.9421899443855275</v>
      </c>
      <c r="J14" s="46">
        <f>(J75/J$94)*_xlfn.XLOOKUP(J$3,'Fund Management'!$A:$A,'Fund Management'!$F:$F)</f>
        <v>1.498167741006065</v>
      </c>
      <c r="K14" s="46">
        <f>(K75/K$94)*_xlfn.XLOOKUP(K$3,'Fund Management'!$A:$A,'Fund Management'!$F:$F)</f>
        <v>4.5148672552136979</v>
      </c>
      <c r="L14" s="46">
        <f>(L75/L$94)*_xlfn.XLOOKUP(L$3,'Fund Management'!$A:$A,'Fund Management'!$F:$F)</f>
        <v>-5.634753817609683</v>
      </c>
      <c r="M14" s="46">
        <f>(M75/M$94)*_xlfn.XLOOKUP(M$3,'Fund Management'!$A:$A,'Fund Management'!$F:$F)</f>
        <v>59.052548423564026</v>
      </c>
      <c r="N14" s="46">
        <f>(N75/N$94)*_xlfn.XLOOKUP(N$3,'Fund Management'!$A:$A,'Fund Management'!$F:$F)</f>
        <v>1.2673201240326819</v>
      </c>
      <c r="O14" s="46">
        <f>(O75/O$94)*_xlfn.XLOOKUP(O$3,'Fund Management'!$A:$A,'Fund Management'!$F:$F)</f>
        <v>6.1343665338019226</v>
      </c>
      <c r="P14" s="46">
        <f>(P75/P$94)*_xlfn.XLOOKUP(P$3,'Fund Management'!$A:$A,'Fund Management'!$F:$F)</f>
        <v>8.6942718837162811</v>
      </c>
      <c r="Q14" s="46">
        <f>(Q75/Q$94)*_xlfn.XLOOKUP(Q$3,'Fund Management'!$A:$A,'Fund Management'!$F:$F)</f>
        <v>1.3916308874413459</v>
      </c>
      <c r="R14" s="46">
        <f>(R75/R$94)*_xlfn.XLOOKUP(R$3,'Fund Management'!$A:$A,'Fund Management'!$F:$F)</f>
        <v>13.695230717864346</v>
      </c>
      <c r="S14" s="46">
        <f>(S75/S$94)*_xlfn.XLOOKUP(S$3,'Fund Management'!$A:$A,'Fund Management'!$F:$F)</f>
        <v>237.97046435673116</v>
      </c>
      <c r="T14" s="46">
        <f>(T75/T$94)*_xlfn.XLOOKUP(T$3,'Fund Management'!$A:$A,'Fund Management'!$F:$F)</f>
        <v>0.19633935628687593</v>
      </c>
      <c r="U14" s="46">
        <f>(U75/U$94)*_xlfn.XLOOKUP(U$3,'Fund Management'!$A:$A,'Fund Management'!$F:$F)</f>
        <v>-0.34861462320899278</v>
      </c>
      <c r="V14" s="46">
        <f>(V75/V$94)*_xlfn.XLOOKUP(V$3,'Fund Management'!$A:$A,'Fund Management'!$F:$F)</f>
        <v>3.2329707857956298</v>
      </c>
      <c r="W14" s="46">
        <f>(W75/W$94)*_xlfn.XLOOKUP(W$3,'Fund Management'!$A:$A,'Fund Management'!$F:$F)</f>
        <v>46.92282251111839</v>
      </c>
      <c r="X14" s="46">
        <f>(X75/X$94)*_xlfn.XLOOKUP(X$3,'Fund Management'!$A:$A,'Fund Management'!$F:$F)</f>
        <v>0</v>
      </c>
      <c r="Y14" s="46">
        <f>(Y75/Y$94)*_xlfn.XLOOKUP(Y$3,'Fund Management'!$A:$A,'Fund Management'!$F:$F)</f>
        <v>0</v>
      </c>
      <c r="Z14" s="46">
        <f>(Z75/Z$94)*_xlfn.XLOOKUP(Z$3,'Fund Management'!$A:$A,'Fund Management'!$F:$F)</f>
        <v>0</v>
      </c>
      <c r="AA14" s="46"/>
      <c r="AB14" s="46"/>
    </row>
    <row r="15" spans="1:28" x14ac:dyDescent="0.3">
      <c r="B15" s="23" t="s">
        <v>9</v>
      </c>
      <c r="C15" s="45">
        <f>SUM(D15:XFD15)</f>
        <v>357.22380735376032</v>
      </c>
      <c r="D15" s="46">
        <f>(D76/D$94)*_xlfn.XLOOKUP(D$3,'Fund Management'!$A:$A,'Fund Management'!$F:$F)</f>
        <v>9.0031265584388809</v>
      </c>
      <c r="E15" s="46">
        <f>(E76/E$94)*_xlfn.XLOOKUP(E$3,'Fund Management'!$A:$A,'Fund Management'!$F:$F)</f>
        <v>1.8503543942460641</v>
      </c>
      <c r="F15" s="46">
        <f>(F76/F$94)*_xlfn.XLOOKUP(F$3,'Fund Management'!$A:$A,'Fund Management'!$F:$F)</f>
        <v>-6.6022903003761861</v>
      </c>
      <c r="G15" s="46">
        <f>(G76/G$94)*_xlfn.XLOOKUP(G$3,'Fund Management'!$A:$A,'Fund Management'!$F:$F)</f>
        <v>-23.596050524175546</v>
      </c>
      <c r="H15" s="46">
        <f>(H76/H$94)*_xlfn.XLOOKUP(H$3,'Fund Management'!$A:$A,'Fund Management'!$F:$F)</f>
        <v>-6.9174325571271336</v>
      </c>
      <c r="I15" s="46">
        <f>(I76/I$94)*_xlfn.XLOOKUP(I$3,'Fund Management'!$A:$A,'Fund Management'!$F:$F)</f>
        <v>2.9572758963923156</v>
      </c>
      <c r="J15" s="46">
        <f>(J76/J$94)*_xlfn.XLOOKUP(J$3,'Fund Management'!$A:$A,'Fund Management'!$F:$F)</f>
        <v>1.5058495314635658</v>
      </c>
      <c r="K15" s="46">
        <f>(K76/K$94)*_xlfn.XLOOKUP(K$3,'Fund Management'!$A:$A,'Fund Management'!$F:$F)</f>
        <v>4.5380170422827293</v>
      </c>
      <c r="L15" s="46">
        <f>(L76/L$94)*_xlfn.XLOOKUP(L$3,'Fund Management'!$A:$A,'Fund Management'!$F:$F)</f>
        <v>-5.6636457747128395</v>
      </c>
      <c r="M15" s="46">
        <f>(M76/M$94)*_xlfn.XLOOKUP(M$3,'Fund Management'!$A:$A,'Fund Management'!$F:$F)</f>
        <v>59.355337817938924</v>
      </c>
      <c r="N15" s="46">
        <f>(N76/N$94)*_xlfn.XLOOKUP(N$3,'Fund Management'!$A:$A,'Fund Management'!$F:$F)</f>
        <v>1.273818253293465</v>
      </c>
      <c r="O15" s="46">
        <f>(O76/O$94)*_xlfn.XLOOKUP(O$3,'Fund Management'!$A:$A,'Fund Management'!$F:$F)</f>
        <v>6.1658202335528776</v>
      </c>
      <c r="P15" s="46">
        <f>(P76/P$94)*_xlfn.XLOOKUP(P$3,'Fund Management'!$A:$A,'Fund Management'!$F:$F)</f>
        <v>8.7388513877085359</v>
      </c>
      <c r="Q15" s="46">
        <f>(Q76/Q$94)*_xlfn.XLOOKUP(Q$3,'Fund Management'!$A:$A,'Fund Management'!$F:$F)</f>
        <v>1.398766414778446</v>
      </c>
      <c r="R15" s="46">
        <f>(R76/R$94)*_xlfn.XLOOKUP(R$3,'Fund Management'!$A:$A,'Fund Management'!$F:$F)</f>
        <v>13.765452422525478</v>
      </c>
      <c r="S15" s="46">
        <f>(S76/S$94)*_xlfn.XLOOKUP(S$3,'Fund Management'!$A:$A,'Fund Management'!$F:$F)</f>
        <v>239.19064764611036</v>
      </c>
      <c r="T15" s="46">
        <f>(T76/T$94)*_xlfn.XLOOKUP(T$3,'Fund Management'!$A:$A,'Fund Management'!$F:$F)</f>
        <v>0.19734607786569164</v>
      </c>
      <c r="U15" s="46">
        <f>(U76/U$94)*_xlfn.XLOOKUP(U$3,'Fund Management'!$A:$A,'Fund Management'!$F:$F)</f>
        <v>-0.35040212964943562</v>
      </c>
      <c r="V15" s="46">
        <f>(V76/V$94)*_xlfn.XLOOKUP(V$3,'Fund Management'!$A:$A,'Fund Management'!$F:$F)</f>
        <v>3.2495477040217731</v>
      </c>
      <c r="W15" s="46">
        <f>(W76/W$94)*_xlfn.XLOOKUP(W$3,'Fund Management'!$A:$A,'Fund Management'!$F:$F)</f>
        <v>47.163417259182353</v>
      </c>
      <c r="X15" s="46">
        <f>(X76/X$94)*_xlfn.XLOOKUP(X$3,'Fund Management'!$A:$A,'Fund Management'!$F:$F)</f>
        <v>0</v>
      </c>
      <c r="Y15" s="46">
        <f>(Y76/Y$94)*_xlfn.XLOOKUP(Y$3,'Fund Management'!$A:$A,'Fund Management'!$F:$F)</f>
        <v>0</v>
      </c>
      <c r="Z15" s="46">
        <f>(Z76/Z$94)*_xlfn.XLOOKUP(Z$3,'Fund Management'!$A:$A,'Fund Management'!$F:$F)</f>
        <v>0</v>
      </c>
      <c r="AA15" s="46"/>
      <c r="AB15" s="46"/>
    </row>
    <row r="16" spans="1:28" x14ac:dyDescent="0.3">
      <c r="B16" s="23" t="s">
        <v>16</v>
      </c>
      <c r="C16" s="45">
        <f>SUM(D16:XFD16)</f>
        <v>1818.6228992417377</v>
      </c>
      <c r="D16" s="46">
        <f>(D77/D$94)*_xlfn.XLOOKUP(D$3,'Fund Management'!$A:$A,'Fund Management'!$F:$F)</f>
        <v>9.0031265584388809</v>
      </c>
      <c r="E16" s="46">
        <f>(E77/E$94)*_xlfn.XLOOKUP(E$3,'Fund Management'!$A:$A,'Fund Management'!$F:$F)</f>
        <v>9.6158501862997188</v>
      </c>
      <c r="F16" s="46">
        <f>(F77/F$94)*_xlfn.XLOOKUP(F$3,'Fund Management'!$A:$A,'Fund Management'!$F:$F)</f>
        <v>-34.310527006230664</v>
      </c>
      <c r="G16" s="46">
        <f>(G77/G$94)*_xlfn.XLOOKUP(G$3,'Fund Management'!$A:$A,'Fund Management'!$F:$F)</f>
        <v>-122.6230432042619</v>
      </c>
      <c r="H16" s="46">
        <f>(H77/H$94)*_xlfn.XLOOKUP(H$3,'Fund Management'!$A:$A,'Fund Management'!$F:$F)</f>
        <v>-35.948246103562965</v>
      </c>
      <c r="I16" s="46">
        <f>(I77/I$94)*_xlfn.XLOOKUP(I$3,'Fund Management'!$A:$A,'Fund Management'!$F:$F)</f>
        <v>15.368257058048812</v>
      </c>
      <c r="J16" s="46">
        <f>(J77/J$94)*_xlfn.XLOOKUP(J$3,'Fund Management'!$A:$A,'Fund Management'!$F:$F)</f>
        <v>7.8255406330219381</v>
      </c>
      <c r="K16" s="46">
        <f>(K77/K$94)*_xlfn.XLOOKUP(K$3,'Fund Management'!$A:$A,'Fund Management'!$F:$F)</f>
        <v>23.582991537816053</v>
      </c>
      <c r="L16" s="46">
        <f>(L77/L$94)*_xlfn.XLOOKUP(L$3,'Fund Management'!$A:$A,'Fund Management'!$F:$F)</f>
        <v>-29.432615420733153</v>
      </c>
      <c r="M16" s="46">
        <f>(M77/M$94)*_xlfn.XLOOKUP(M$3,'Fund Management'!$A:$A,'Fund Management'!$F:$F)</f>
        <v>308.45552505473756</v>
      </c>
      <c r="N16" s="46">
        <f>(N77/N$94)*_xlfn.XLOOKUP(N$3,'Fund Management'!$A:$A,'Fund Management'!$F:$F)</f>
        <v>6.6197294563319566</v>
      </c>
      <c r="O16" s="46">
        <f>(O77/O$94)*_xlfn.XLOOKUP(O$3,'Fund Management'!$A:$A,'Fund Management'!$F:$F)</f>
        <v>32.042296235720748</v>
      </c>
      <c r="P16" s="46">
        <f>(P77/P$94)*_xlfn.XLOOKUP(P$3,'Fund Management'!$A:$A,'Fund Management'!$F:$F)</f>
        <v>45.41372507118114</v>
      </c>
      <c r="Q16" s="46">
        <f>(Q77/Q$94)*_xlfn.XLOOKUP(Q$3,'Fund Management'!$A:$A,'Fund Management'!$F:$F)</f>
        <v>7.2690552317776449</v>
      </c>
      <c r="R16" s="46">
        <f>(R77/R$94)*_xlfn.XLOOKUP(R$3,'Fund Management'!$A:$A,'Fund Management'!$F:$F)</f>
        <v>71.535771014057502</v>
      </c>
      <c r="S16" s="46">
        <f>(S77/S$94)*_xlfn.XLOOKUP(S$3,'Fund Management'!$A:$A,'Fund Management'!$F:$F)</f>
        <v>1243.0167112209633</v>
      </c>
      <c r="T16" s="46">
        <f>(T77/T$94)*_xlfn.XLOOKUP(T$3,'Fund Management'!$A:$A,'Fund Management'!$F:$F)</f>
        <v>1.0255604685844715</v>
      </c>
      <c r="U16" s="46">
        <f>(U77/U$94)*_xlfn.XLOOKUP(U$3,'Fund Management'!$A:$A,'Fund Management'!$F:$F)</f>
        <v>-1.8209562417594214</v>
      </c>
      <c r="V16" s="46">
        <f>(V77/V$94)*_xlfn.XLOOKUP(V$3,'Fund Management'!$A:$A,'Fund Management'!$F:$F)</f>
        <v>16.887123889496529</v>
      </c>
      <c r="W16" s="46">
        <f>(W77/W$94)*_xlfn.XLOOKUP(W$3,'Fund Management'!$A:$A,'Fund Management'!$F:$F)</f>
        <v>245.09702360180975</v>
      </c>
      <c r="X16" s="46">
        <f>(X77/X$94)*_xlfn.XLOOKUP(X$3,'Fund Management'!$A:$A,'Fund Management'!$F:$F)</f>
        <v>0</v>
      </c>
      <c r="Y16" s="46">
        <f>(Y77/Y$94)*_xlfn.XLOOKUP(Y$3,'Fund Management'!$A:$A,'Fund Management'!$F:$F)</f>
        <v>0</v>
      </c>
      <c r="Z16" s="46">
        <f>(Z77/Z$94)*_xlfn.XLOOKUP(Z$3,'Fund Management'!$A:$A,'Fund Management'!$F:$F)</f>
        <v>0</v>
      </c>
      <c r="AA16" s="46"/>
      <c r="AB16" s="46"/>
    </row>
    <row r="17" spans="2:28" x14ac:dyDescent="0.3">
      <c r="B17" s="23" t="s">
        <v>19</v>
      </c>
      <c r="C17" s="45">
        <f>SUM(D17:XFD17)</f>
        <v>382.29754478712539</v>
      </c>
      <c r="D17" s="46">
        <f>(D78/D$94)*_xlfn.XLOOKUP(D$3,'Fund Management'!$A:$A,'Fund Management'!$F:$F)</f>
        <v>9.0031265584388809</v>
      </c>
      <c r="E17" s="46">
        <f>(E78/E$94)*_xlfn.XLOOKUP(E$3,'Fund Management'!$A:$A,'Fund Management'!$F:$F)</f>
        <v>1.8503543942460641</v>
      </c>
      <c r="F17" s="46">
        <f>(F78/F$94)*_xlfn.XLOOKUP(F$3,'Fund Management'!$A:$A,'Fund Management'!$F:$F)</f>
        <v>-6.6022903003761861</v>
      </c>
      <c r="G17" s="46">
        <f>(G78/G$94)*_xlfn.XLOOKUP(G$3,'Fund Management'!$A:$A,'Fund Management'!$F:$F)</f>
        <v>-23.596050524175546</v>
      </c>
      <c r="H17" s="46">
        <f>(H78/H$94)*_xlfn.XLOOKUP(H$3,'Fund Management'!$A:$A,'Fund Management'!$F:$F)</f>
        <v>-6.9174325571271336</v>
      </c>
      <c r="I17" s="46">
        <f>(I78/I$94)*_xlfn.XLOOKUP(I$3,'Fund Management'!$A:$A,'Fund Management'!$F:$F)</f>
        <v>2.9572758963923156</v>
      </c>
      <c r="J17" s="46">
        <f>(J78/J$94)*_xlfn.XLOOKUP(J$3,'Fund Management'!$A:$A,'Fund Management'!$F:$F)</f>
        <v>1.5058495314635658</v>
      </c>
      <c r="K17" s="46">
        <f>(K78/K$94)*_xlfn.XLOOKUP(K$3,'Fund Management'!$A:$A,'Fund Management'!$F:$F)</f>
        <v>4.5380170422827293</v>
      </c>
      <c r="L17" s="46">
        <f>(L78/L$94)*_xlfn.XLOOKUP(L$3,'Fund Management'!$A:$A,'Fund Management'!$F:$F)</f>
        <v>-5.6636457747128395</v>
      </c>
      <c r="M17" s="46">
        <f>(M78/M$94)*_xlfn.XLOOKUP(M$3,'Fund Management'!$A:$A,'Fund Management'!$F:$F)</f>
        <v>59.355337817938924</v>
      </c>
      <c r="N17" s="46">
        <f>(N78/N$94)*_xlfn.XLOOKUP(N$3,'Fund Management'!$A:$A,'Fund Management'!$F:$F)</f>
        <v>1.273818253293465</v>
      </c>
      <c r="O17" s="46">
        <f>(O78/O$94)*_xlfn.XLOOKUP(O$3,'Fund Management'!$A:$A,'Fund Management'!$F:$F)</f>
        <v>6.1658202335528776</v>
      </c>
      <c r="P17" s="46">
        <f>(P78/P$94)*_xlfn.XLOOKUP(P$3,'Fund Management'!$A:$A,'Fund Management'!$F:$F)</f>
        <v>8.7388513877085359</v>
      </c>
      <c r="Q17" s="46">
        <f>(Q78/Q$94)*_xlfn.XLOOKUP(Q$3,'Fund Management'!$A:$A,'Fund Management'!$F:$F)</f>
        <v>1.398766414778446</v>
      </c>
      <c r="R17" s="46">
        <f>(R78/R$94)*_xlfn.XLOOKUP(R$3,'Fund Management'!$A:$A,'Fund Management'!$F:$F)</f>
        <v>13.765452422525478</v>
      </c>
      <c r="S17" s="46">
        <f>(S78/S$94)*_xlfn.XLOOKUP(S$3,'Fund Management'!$A:$A,'Fund Management'!$F:$F)</f>
        <v>239.19064764611036</v>
      </c>
      <c r="T17" s="46">
        <f>(T78/T$94)*_xlfn.XLOOKUP(T$3,'Fund Management'!$A:$A,'Fund Management'!$F:$F)</f>
        <v>0.19734607786569164</v>
      </c>
      <c r="U17" s="46">
        <f>(U78/U$94)*_xlfn.XLOOKUP(U$3,'Fund Management'!$A:$A,'Fund Management'!$F:$F)</f>
        <v>-0.52590035622111042</v>
      </c>
      <c r="V17" s="46">
        <f>(V78/V$94)*_xlfn.XLOOKUP(V$3,'Fund Management'!$A:$A,'Fund Management'!$F:$F)</f>
        <v>4.8770773648330028</v>
      </c>
      <c r="W17" s="46">
        <f>(W78/W$94)*_xlfn.XLOOKUP(W$3,'Fund Management'!$A:$A,'Fund Management'!$F:$F)</f>
        <v>70.785123258307834</v>
      </c>
      <c r="X17" s="46">
        <f>(X78/X$94)*_xlfn.XLOOKUP(X$3,'Fund Management'!$A:$A,'Fund Management'!$F:$F)</f>
        <v>0</v>
      </c>
      <c r="Y17" s="46">
        <f>(Y78/Y$94)*_xlfn.XLOOKUP(Y$3,'Fund Management'!$A:$A,'Fund Management'!$F:$F)</f>
        <v>0</v>
      </c>
      <c r="Z17" s="46">
        <f>(Z78/Z$94)*_xlfn.XLOOKUP(Z$3,'Fund Management'!$A:$A,'Fund Management'!$F:$F)</f>
        <v>0</v>
      </c>
      <c r="AA17" s="46"/>
      <c r="AB17" s="46"/>
    </row>
    <row r="18" spans="2:28" x14ac:dyDescent="0.3">
      <c r="B18" s="25" t="s">
        <v>24</v>
      </c>
      <c r="C18" s="45">
        <f>SUM(D18:XFD18)</f>
        <v>162.37767687644197</v>
      </c>
      <c r="D18" s="46">
        <f>(D79/D$94)*_xlfn.XLOOKUP(D$3,'Fund Management'!$A:$A,'Fund Management'!$F:$F)</f>
        <v>0</v>
      </c>
      <c r="E18" s="46">
        <f>(E79/E$94)*_xlfn.XLOOKUP(E$3,'Fund Management'!$A:$A,'Fund Management'!$F:$F)</f>
        <v>0.86283286578373941</v>
      </c>
      <c r="F18" s="46">
        <f>(F79/F$94)*_xlfn.XLOOKUP(F$3,'Fund Management'!$A:$A,'Fund Management'!$F:$F)</f>
        <v>-3.0786929673171644</v>
      </c>
      <c r="G18" s="46">
        <f>(G79/G$94)*_xlfn.XLOOKUP(G$3,'Fund Management'!$A:$A,'Fund Management'!$F:$F)</f>
        <v>-11.002999186676261</v>
      </c>
      <c r="H18" s="46">
        <f>(H79/H$94)*_xlfn.XLOOKUP(H$3,'Fund Management'!$A:$A,'Fund Management'!$F:$F)</f>
        <v>-3.2256459496039813</v>
      </c>
      <c r="I18" s="46">
        <f>(I79/I$94)*_xlfn.XLOOKUP(I$3,'Fund Management'!$A:$A,'Fund Management'!$F:$F)</f>
        <v>1.3789979068507221</v>
      </c>
      <c r="J18" s="46">
        <f>(J79/J$94)*_xlfn.XLOOKUP(J$3,'Fund Management'!$A:$A,'Fund Management'!$F:$F)</f>
        <v>0.70218790017315258</v>
      </c>
      <c r="K18" s="46">
        <f>(K79/K$94)*_xlfn.XLOOKUP(K$3,'Fund Management'!$A:$A,'Fund Management'!$F:$F)</f>
        <v>2.1161082772814805</v>
      </c>
      <c r="L18" s="46">
        <f>(L79/L$94)*_xlfn.XLOOKUP(L$3,'Fund Management'!$A:$A,'Fund Management'!$F:$F)</f>
        <v>-2.6409966273355909</v>
      </c>
      <c r="M18" s="46">
        <f>(M79/M$94)*_xlfn.XLOOKUP(M$3,'Fund Management'!$A:$A,'Fund Management'!$F:$F)</f>
        <v>27.677798581866522</v>
      </c>
      <c r="N18" s="46">
        <f>(N79/N$94)*_xlfn.XLOOKUP(N$3,'Fund Management'!$A:$A,'Fund Management'!$F:$F)</f>
        <v>0.59399013367094355</v>
      </c>
      <c r="O18" s="46">
        <f>(O79/O$94)*_xlfn.XLOOKUP(O$3,'Fund Management'!$A:$A,'Fund Management'!$F:$F)</f>
        <v>2.8751640002408747</v>
      </c>
      <c r="P18" s="46">
        <f>(P79/P$94)*_xlfn.XLOOKUP(P$3,'Fund Management'!$A:$A,'Fund Management'!$F:$F)</f>
        <v>4.0749859648302893</v>
      </c>
      <c r="Q18" s="46">
        <f>(Q79/Q$94)*_xlfn.XLOOKUP(Q$3,'Fund Management'!$A:$A,'Fund Management'!$F:$F)</f>
        <v>0.6522543129999111</v>
      </c>
      <c r="R18" s="46">
        <f>(R79/R$94)*_xlfn.XLOOKUP(R$3,'Fund Management'!$A:$A,'Fund Management'!$F:$F)</f>
        <v>6.418924287948002</v>
      </c>
      <c r="S18" s="46">
        <f>(S79/S$94)*_xlfn.XLOOKUP(S$3,'Fund Management'!$A:$A,'Fund Management'!$F:$F)</f>
        <v>111.53622928609477</v>
      </c>
      <c r="T18" s="46">
        <f>(T79/T$94)*_xlfn.XLOOKUP(T$3,'Fund Management'!$A:$A,'Fund Management'!$F:$F)</f>
        <v>9.2023821190975547E-2</v>
      </c>
      <c r="U18" s="46">
        <f>(U79/U$94)*_xlfn.XLOOKUP(U$3,'Fund Management'!$A:$A,'Fund Management'!$F:$F)</f>
        <v>-0.16339490134555398</v>
      </c>
      <c r="V18" s="46">
        <f>(V79/V$94)*_xlfn.XLOOKUP(V$3,'Fund Management'!$A:$A,'Fund Management'!$F:$F)</f>
        <v>1.5152862428305285</v>
      </c>
      <c r="W18" s="46">
        <f>(W79/W$94)*_xlfn.XLOOKUP(W$3,'Fund Management'!$A:$A,'Fund Management'!$F:$F)</f>
        <v>21.9926229269586</v>
      </c>
      <c r="X18" s="46">
        <f>(X79/X$94)*_xlfn.XLOOKUP(X$3,'Fund Management'!$A:$A,'Fund Management'!$F:$F)</f>
        <v>0</v>
      </c>
      <c r="Y18" s="46">
        <f>(Y79/Y$94)*_xlfn.XLOOKUP(Y$3,'Fund Management'!$A:$A,'Fund Management'!$F:$F)</f>
        <v>0</v>
      </c>
      <c r="Z18" s="46">
        <f>(Z79/Z$94)*_xlfn.XLOOKUP(Z$3,'Fund Management'!$A:$A,'Fund Management'!$F:$F)</f>
        <v>0</v>
      </c>
      <c r="AA18" s="46"/>
      <c r="AB18" s="46"/>
    </row>
    <row r="19" spans="2:28" x14ac:dyDescent="0.3">
      <c r="B19" s="25" t="s">
        <v>22</v>
      </c>
      <c r="C19" s="45">
        <f>SUM(D19:XFD19)</f>
        <v>33.938346246182995</v>
      </c>
      <c r="D19" s="46">
        <f>(D80/D$94)*_xlfn.XLOOKUP(D$3,'Fund Management'!$A:$A,'Fund Management'!$F:$F)</f>
        <v>0</v>
      </c>
      <c r="E19" s="46">
        <f>(E80/E$94)*_xlfn.XLOOKUP(E$3,'Fund Management'!$A:$A,'Fund Management'!$F:$F)</f>
        <v>5.1769971947024365</v>
      </c>
      <c r="F19" s="46">
        <f>(F80/F$94)*_xlfn.XLOOKUP(F$3,'Fund Management'!$A:$A,'Fund Management'!$F:$F)</f>
        <v>-18.472157803902988</v>
      </c>
      <c r="G19" s="46">
        <f>(G80/G$94)*_xlfn.XLOOKUP(G$3,'Fund Management'!$A:$A,'Fund Management'!$F:$F)</f>
        <v>-66.017995120057563</v>
      </c>
      <c r="H19" s="46">
        <f>(H80/H$94)*_xlfn.XLOOKUP(H$3,'Fund Management'!$A:$A,'Fund Management'!$F:$F)</f>
        <v>-19.353875697623888</v>
      </c>
      <c r="I19" s="46">
        <f>(I80/I$94)*_xlfn.XLOOKUP(I$3,'Fund Management'!$A:$A,'Fund Management'!$F:$F)</f>
        <v>8.2739874411043317</v>
      </c>
      <c r="J19" s="46">
        <f>(J80/J$94)*_xlfn.XLOOKUP(J$3,'Fund Management'!$A:$A,'Fund Management'!$F:$F)</f>
        <v>4.213127401038915</v>
      </c>
      <c r="K19" s="46">
        <f>(K80/K$94)*_xlfn.XLOOKUP(K$3,'Fund Management'!$A:$A,'Fund Management'!$F:$F)</f>
        <v>12.696649663688882</v>
      </c>
      <c r="L19" s="46">
        <f>(L80/L$94)*_xlfn.XLOOKUP(L$3,'Fund Management'!$A:$A,'Fund Management'!$F:$F)</f>
        <v>-15.845979764013544</v>
      </c>
      <c r="M19" s="46">
        <f>(M80/M$94)*_xlfn.XLOOKUP(M$3,'Fund Management'!$A:$A,'Fund Management'!$F:$F)</f>
        <v>166.06679149119913</v>
      </c>
      <c r="N19" s="46">
        <f>(N80/N$94)*_xlfn.XLOOKUP(N$3,'Fund Management'!$A:$A,'Fund Management'!$F:$F)</f>
        <v>3.5639408020256615</v>
      </c>
      <c r="O19" s="46">
        <f>(O80/O$94)*_xlfn.XLOOKUP(O$3,'Fund Management'!$A:$A,'Fund Management'!$F:$F)</f>
        <v>17.250984001445246</v>
      </c>
      <c r="P19" s="46">
        <f>(P80/P$94)*_xlfn.XLOOKUP(P$3,'Fund Management'!$A:$A,'Fund Management'!$F:$F)</f>
        <v>-1.7740798979745092</v>
      </c>
      <c r="Q19" s="46">
        <f>(Q80/Q$94)*_xlfn.XLOOKUP(Q$3,'Fund Management'!$A:$A,'Fund Management'!$F:$F)</f>
        <v>-0.28396447866256819</v>
      </c>
      <c r="R19" s="46">
        <f>(R80/R$94)*_xlfn.XLOOKUP(R$3,'Fund Management'!$A:$A,'Fund Management'!$F:$F)</f>
        <v>-2.7945334399067439</v>
      </c>
      <c r="S19" s="46">
        <f>(S80/S$94)*_xlfn.XLOOKUP(S$3,'Fund Management'!$A:$A,'Fund Management'!$F:$F)</f>
        <v>-48.558248784196074</v>
      </c>
      <c r="T19" s="46">
        <f>(T80/T$94)*_xlfn.XLOOKUP(T$3,'Fund Management'!$A:$A,'Fund Management'!$F:$F)</f>
        <v>-4.0063355486062283E-2</v>
      </c>
      <c r="U19" s="46">
        <f>(U80/U$94)*_xlfn.XLOOKUP(U$3,'Fund Management'!$A:$A,'Fund Management'!$F:$F)</f>
        <v>7.1135364001369703E-2</v>
      </c>
      <c r="V19" s="46">
        <f>(V80/V$94)*_xlfn.XLOOKUP(V$3,'Fund Management'!$A:$A,'Fund Management'!$F:$F)</f>
        <v>-0.65969279067073239</v>
      </c>
      <c r="W19" s="46">
        <f>(W80/W$94)*_xlfn.XLOOKUP(W$3,'Fund Management'!$A:$A,'Fund Management'!$F:$F)</f>
        <v>-9.5746759805283119</v>
      </c>
      <c r="X19" s="46">
        <f>(X80/X$94)*_xlfn.XLOOKUP(X$3,'Fund Management'!$A:$A,'Fund Management'!$F:$F)</f>
        <v>0</v>
      </c>
      <c r="Y19" s="46">
        <f>(Y80/Y$94)*_xlfn.XLOOKUP(Y$3,'Fund Management'!$A:$A,'Fund Management'!$F:$F)</f>
        <v>0</v>
      </c>
      <c r="Z19" s="46">
        <f>(Z80/Z$94)*_xlfn.XLOOKUP(Z$3,'Fund Management'!$A:$A,'Fund Management'!$F:$F)</f>
        <v>0</v>
      </c>
      <c r="AA19" s="46"/>
      <c r="AB19" s="46"/>
    </row>
    <row r="20" spans="2:28" x14ac:dyDescent="0.3">
      <c r="B20" s="25" t="s">
        <v>23</v>
      </c>
      <c r="C20" s="45">
        <f>SUM(D20:XFD20)</f>
        <v>1623.7767687644196</v>
      </c>
      <c r="D20" s="46">
        <f>(D81/D$94)*_xlfn.XLOOKUP(D$3,'Fund Management'!$A:$A,'Fund Management'!$F:$F)</f>
        <v>0</v>
      </c>
      <c r="E20" s="46">
        <f>(E81/E$94)*_xlfn.XLOOKUP(E$3,'Fund Management'!$A:$A,'Fund Management'!$F:$F)</f>
        <v>8.628328657837395</v>
      </c>
      <c r="F20" s="46">
        <f>(F81/F$94)*_xlfn.XLOOKUP(F$3,'Fund Management'!$A:$A,'Fund Management'!$F:$F)</f>
        <v>-30.786929673171645</v>
      </c>
      <c r="G20" s="46">
        <f>(G81/G$94)*_xlfn.XLOOKUP(G$3,'Fund Management'!$A:$A,'Fund Management'!$F:$F)</f>
        <v>-110.02999186676263</v>
      </c>
      <c r="H20" s="46">
        <f>(H81/H$94)*_xlfn.XLOOKUP(H$3,'Fund Management'!$A:$A,'Fund Management'!$F:$F)</f>
        <v>-32.256459496039817</v>
      </c>
      <c r="I20" s="46">
        <f>(I81/I$94)*_xlfn.XLOOKUP(I$3,'Fund Management'!$A:$A,'Fund Management'!$F:$F)</f>
        <v>13.78997906850722</v>
      </c>
      <c r="J20" s="46">
        <f>(J81/J$94)*_xlfn.XLOOKUP(J$3,'Fund Management'!$A:$A,'Fund Management'!$F:$F)</f>
        <v>7.0218790017315262</v>
      </c>
      <c r="K20" s="46">
        <f>(K81/K$94)*_xlfn.XLOOKUP(K$3,'Fund Management'!$A:$A,'Fund Management'!$F:$F)</f>
        <v>21.161082772814805</v>
      </c>
      <c r="L20" s="46">
        <f>(L81/L$94)*_xlfn.XLOOKUP(L$3,'Fund Management'!$A:$A,'Fund Management'!$F:$F)</f>
        <v>-26.409966273355909</v>
      </c>
      <c r="M20" s="46">
        <f>(M81/M$94)*_xlfn.XLOOKUP(M$3,'Fund Management'!$A:$A,'Fund Management'!$F:$F)</f>
        <v>276.77798581866523</v>
      </c>
      <c r="N20" s="46">
        <f>(N81/N$94)*_xlfn.XLOOKUP(N$3,'Fund Management'!$A:$A,'Fund Management'!$F:$F)</f>
        <v>5.9399013367094362</v>
      </c>
      <c r="O20" s="46">
        <f>(O81/O$94)*_xlfn.XLOOKUP(O$3,'Fund Management'!$A:$A,'Fund Management'!$F:$F)</f>
        <v>28.751640002408749</v>
      </c>
      <c r="P20" s="46">
        <f>(P81/P$94)*_xlfn.XLOOKUP(P$3,'Fund Management'!$A:$A,'Fund Management'!$F:$F)</f>
        <v>40.749859648302902</v>
      </c>
      <c r="Q20" s="46">
        <f>(Q81/Q$94)*_xlfn.XLOOKUP(Q$3,'Fund Management'!$A:$A,'Fund Management'!$F:$F)</f>
        <v>6.5225431299991108</v>
      </c>
      <c r="R20" s="46">
        <f>(R81/R$94)*_xlfn.XLOOKUP(R$3,'Fund Management'!$A:$A,'Fund Management'!$F:$F)</f>
        <v>64.18924287948002</v>
      </c>
      <c r="S20" s="46">
        <f>(S81/S$94)*_xlfn.XLOOKUP(S$3,'Fund Management'!$A:$A,'Fund Management'!$F:$F)</f>
        <v>1115.3622928609477</v>
      </c>
      <c r="T20" s="46">
        <f>(T81/T$94)*_xlfn.XLOOKUP(T$3,'Fund Management'!$A:$A,'Fund Management'!$F:$F)</f>
        <v>0.92023821190975552</v>
      </c>
      <c r="U20" s="46">
        <f>(U81/U$94)*_xlfn.XLOOKUP(U$3,'Fund Management'!$A:$A,'Fund Management'!$F:$F)</f>
        <v>-1.6339490134555397</v>
      </c>
      <c r="V20" s="46">
        <f>(V81/V$94)*_xlfn.XLOOKUP(V$3,'Fund Management'!$A:$A,'Fund Management'!$F:$F)</f>
        <v>15.152862428305284</v>
      </c>
      <c r="W20" s="46">
        <f>(W81/W$94)*_xlfn.XLOOKUP(W$3,'Fund Management'!$A:$A,'Fund Management'!$F:$F)</f>
        <v>219.92622926958597</v>
      </c>
      <c r="X20" s="46">
        <f>(X81/X$94)*_xlfn.XLOOKUP(X$3,'Fund Management'!$A:$A,'Fund Management'!$F:$F)</f>
        <v>0</v>
      </c>
      <c r="Y20" s="46">
        <f>(Y81/Y$94)*_xlfn.XLOOKUP(Y$3,'Fund Management'!$A:$A,'Fund Management'!$F:$F)</f>
        <v>0</v>
      </c>
      <c r="Z20" s="46">
        <f>(Z81/Z$94)*_xlfn.XLOOKUP(Z$3,'Fund Management'!$A:$A,'Fund Management'!$F:$F)</f>
        <v>0</v>
      </c>
      <c r="AA20" s="46"/>
      <c r="AB20" s="46"/>
    </row>
    <row r="21" spans="2:28" x14ac:dyDescent="0.3">
      <c r="B21" s="25" t="s">
        <v>25</v>
      </c>
      <c r="C21" s="45">
        <f>SUM(D21:XFD21)</f>
        <v>746.93130742941821</v>
      </c>
      <c r="D21" s="46">
        <f>(D82/D$94)*_xlfn.XLOOKUP(D$3,'Fund Management'!$A:$A,'Fund Management'!$F:$F)</f>
        <v>0</v>
      </c>
      <c r="E21" s="46">
        <f>(E82/E$94)*_xlfn.XLOOKUP(E$3,'Fund Management'!$A:$A,'Fund Management'!$F:$F)</f>
        <v>3.9689992672042109</v>
      </c>
      <c r="F21" s="46">
        <f>(F82/F$94)*_xlfn.XLOOKUP(F$3,'Fund Management'!$A:$A,'Fund Management'!$F:$F)</f>
        <v>-14.161873771613189</v>
      </c>
      <c r="G21" s="46">
        <f>(G82/G$94)*_xlfn.XLOOKUP(G$3,'Fund Management'!$A:$A,'Fund Management'!$F:$F)</f>
        <v>-50.613389267803214</v>
      </c>
      <c r="H21" s="46">
        <f>(H82/H$94)*_xlfn.XLOOKUP(H$3,'Fund Management'!$A:$A,'Fund Management'!$F:$F)</f>
        <v>-14.837852054475722</v>
      </c>
      <c r="I21" s="46">
        <f>(I82/I$94)*_xlfn.XLOOKUP(I$3,'Fund Management'!$A:$A,'Fund Management'!$F:$F)</f>
        <v>6.3433393636380915</v>
      </c>
      <c r="J21" s="46">
        <f>(J82/J$94)*_xlfn.XLOOKUP(J$3,'Fund Management'!$A:$A,'Fund Management'!$F:$F)</f>
        <v>3.2300383675063165</v>
      </c>
      <c r="K21" s="46">
        <f>(K82/K$94)*_xlfn.XLOOKUP(K$3,'Fund Management'!$A:$A,'Fund Management'!$F:$F)</f>
        <v>9.7340198025790627</v>
      </c>
      <c r="L21" s="46">
        <f>(L82/L$94)*_xlfn.XLOOKUP(L$3,'Fund Management'!$A:$A,'Fund Management'!$F:$F)</f>
        <v>-12.148486797686484</v>
      </c>
      <c r="M21" s="46">
        <f>(M82/M$94)*_xlfn.XLOOKUP(M$3,'Fund Management'!$A:$A,'Fund Management'!$F:$F)</f>
        <v>127.31684970005256</v>
      </c>
      <c r="N21" s="46">
        <f>(N82/N$94)*_xlfn.XLOOKUP(N$3,'Fund Management'!$A:$A,'Fund Management'!$F:$F)</f>
        <v>2.7323326437328852</v>
      </c>
      <c r="O21" s="46">
        <f>(O82/O$94)*_xlfn.XLOOKUP(O$3,'Fund Management'!$A:$A,'Fund Management'!$F:$F)</f>
        <v>13.225648051413176</v>
      </c>
      <c r="P21" s="46">
        <f>(P82/P$94)*_xlfn.XLOOKUP(P$3,'Fund Management'!$A:$A,'Fund Management'!$F:$F)</f>
        <v>18.744784708203987</v>
      </c>
      <c r="Q21" s="46">
        <f>(Q82/Q$94)*_xlfn.XLOOKUP(Q$3,'Fund Management'!$A:$A,'Fund Management'!$F:$F)</f>
        <v>3.0003457135072664</v>
      </c>
      <c r="R21" s="46">
        <f>(R82/R$94)*_xlfn.XLOOKUP(R$3,'Fund Management'!$A:$A,'Fund Management'!$F:$F)</f>
        <v>29.526814294404051</v>
      </c>
      <c r="S21" s="46">
        <f>(S82/S$94)*_xlfn.XLOOKUP(S$3,'Fund Management'!$A:$A,'Fund Management'!$F:$F)</f>
        <v>513.06252909261127</v>
      </c>
      <c r="T21" s="46">
        <f>(T82/T$94)*_xlfn.XLOOKUP(T$3,'Fund Management'!$A:$A,'Fund Management'!$F:$F)</f>
        <v>0.42330617360124723</v>
      </c>
      <c r="U21" s="46">
        <f>(U82/U$94)*_xlfn.XLOOKUP(U$3,'Fund Management'!$A:$A,'Fund Management'!$F:$F)</f>
        <v>-0.75161050236112792</v>
      </c>
      <c r="V21" s="46">
        <f>(V82/V$94)*_xlfn.XLOOKUP(V$3,'Fund Management'!$A:$A,'Fund Management'!$F:$F)</f>
        <v>6.9702606679639185</v>
      </c>
      <c r="W21" s="46">
        <f>(W82/W$94)*_xlfn.XLOOKUP(W$3,'Fund Management'!$A:$A,'Fund Management'!$F:$F)</f>
        <v>101.16525197693996</v>
      </c>
      <c r="X21" s="46">
        <f>(X82/X$94)*_xlfn.XLOOKUP(X$3,'Fund Management'!$A:$A,'Fund Management'!$F:$F)</f>
        <v>0</v>
      </c>
      <c r="Y21" s="46">
        <f>(Y82/Y$94)*_xlfn.XLOOKUP(Y$3,'Fund Management'!$A:$A,'Fund Management'!$F:$F)</f>
        <v>0</v>
      </c>
      <c r="Z21" s="46">
        <f>(Z82/Z$94)*_xlfn.XLOOKUP(Z$3,'Fund Management'!$A:$A,'Fund Management'!$F:$F)</f>
        <v>0</v>
      </c>
      <c r="AA21" s="46"/>
      <c r="AB21" s="46"/>
    </row>
    <row r="22" spans="2:28" x14ac:dyDescent="0.3">
      <c r="B22" s="25" t="s">
        <v>26</v>
      </c>
      <c r="C22" s="45">
        <f>SUM(D22:XFD22)</f>
        <v>487.13303062932584</v>
      </c>
      <c r="D22" s="46">
        <f>(D83/D$94)*_xlfn.XLOOKUP(D$3,'Fund Management'!$A:$A,'Fund Management'!$F:$F)</f>
        <v>0</v>
      </c>
      <c r="E22" s="46">
        <f>(E83/E$94)*_xlfn.XLOOKUP(E$3,'Fund Management'!$A:$A,'Fund Management'!$F:$F)</f>
        <v>2.5884985973512182</v>
      </c>
      <c r="F22" s="46">
        <f>(F83/F$94)*_xlfn.XLOOKUP(F$3,'Fund Management'!$A:$A,'Fund Management'!$F:$F)</f>
        <v>-9.2360789019514939</v>
      </c>
      <c r="G22" s="46">
        <f>(G83/G$94)*_xlfn.XLOOKUP(G$3,'Fund Management'!$A:$A,'Fund Management'!$F:$F)</f>
        <v>-33.008997560028781</v>
      </c>
      <c r="H22" s="46">
        <f>(H83/H$94)*_xlfn.XLOOKUP(H$3,'Fund Management'!$A:$A,'Fund Management'!$F:$F)</f>
        <v>-9.676937848811944</v>
      </c>
      <c r="I22" s="46">
        <f>(I83/I$94)*_xlfn.XLOOKUP(I$3,'Fund Management'!$A:$A,'Fund Management'!$F:$F)</f>
        <v>4.1369937205521659</v>
      </c>
      <c r="J22" s="46">
        <f>(J83/J$94)*_xlfn.XLOOKUP(J$3,'Fund Management'!$A:$A,'Fund Management'!$F:$F)</f>
        <v>2.1065637005194575</v>
      </c>
      <c r="K22" s="46">
        <f>(K83/K$94)*_xlfn.XLOOKUP(K$3,'Fund Management'!$A:$A,'Fund Management'!$F:$F)</f>
        <v>6.3483248318444412</v>
      </c>
      <c r="L22" s="46">
        <f>(L83/L$94)*_xlfn.XLOOKUP(L$3,'Fund Management'!$A:$A,'Fund Management'!$F:$F)</f>
        <v>-7.9229898820067719</v>
      </c>
      <c r="M22" s="46">
        <f>(M83/M$94)*_xlfn.XLOOKUP(M$3,'Fund Management'!$A:$A,'Fund Management'!$F:$F)</f>
        <v>83.033395745599563</v>
      </c>
      <c r="N22" s="46">
        <f>(N83/N$94)*_xlfn.XLOOKUP(N$3,'Fund Management'!$A:$A,'Fund Management'!$F:$F)</f>
        <v>1.7819704010128308</v>
      </c>
      <c r="O22" s="46">
        <f>(O83/O$94)*_xlfn.XLOOKUP(O$3,'Fund Management'!$A:$A,'Fund Management'!$F:$F)</f>
        <v>8.6254920007226232</v>
      </c>
      <c r="P22" s="46">
        <f>(P83/P$94)*_xlfn.XLOOKUP(P$3,'Fund Management'!$A:$A,'Fund Management'!$F:$F)</f>
        <v>12.224957894490869</v>
      </c>
      <c r="Q22" s="46">
        <f>(Q83/Q$94)*_xlfn.XLOOKUP(Q$3,'Fund Management'!$A:$A,'Fund Management'!$F:$F)</f>
        <v>1.956762938999733</v>
      </c>
      <c r="R22" s="46">
        <f>(R83/R$94)*_xlfn.XLOOKUP(R$3,'Fund Management'!$A:$A,'Fund Management'!$F:$F)</f>
        <v>19.256772863844006</v>
      </c>
      <c r="S22" s="46">
        <f>(S83/S$94)*_xlfn.XLOOKUP(S$3,'Fund Management'!$A:$A,'Fund Management'!$F:$F)</f>
        <v>334.60868785828433</v>
      </c>
      <c r="T22" s="46">
        <f>(T83/T$94)*_xlfn.XLOOKUP(T$3,'Fund Management'!$A:$A,'Fund Management'!$F:$F)</f>
        <v>0.27607146357292661</v>
      </c>
      <c r="U22" s="46">
        <f>(U83/U$94)*_xlfn.XLOOKUP(U$3,'Fund Management'!$A:$A,'Fund Management'!$F:$F)</f>
        <v>-0.49018470403666198</v>
      </c>
      <c r="V22" s="46">
        <f>(V83/V$94)*_xlfn.XLOOKUP(V$3,'Fund Management'!$A:$A,'Fund Management'!$F:$F)</f>
        <v>4.5458587284915852</v>
      </c>
      <c r="W22" s="46">
        <f>(W83/W$94)*_xlfn.XLOOKUP(W$3,'Fund Management'!$A:$A,'Fund Management'!$F:$F)</f>
        <v>65.977868780875795</v>
      </c>
      <c r="X22" s="46">
        <f>(X83/X$94)*_xlfn.XLOOKUP(X$3,'Fund Management'!$A:$A,'Fund Management'!$F:$F)</f>
        <v>0</v>
      </c>
      <c r="Y22" s="46">
        <f>(Y83/Y$94)*_xlfn.XLOOKUP(Y$3,'Fund Management'!$A:$A,'Fund Management'!$F:$F)</f>
        <v>0</v>
      </c>
      <c r="Z22" s="46">
        <f>(Z83/Z$94)*_xlfn.XLOOKUP(Z$3,'Fund Management'!$A:$A,'Fund Management'!$F:$F)</f>
        <v>0</v>
      </c>
      <c r="AA22" s="46"/>
      <c r="AB22" s="46"/>
    </row>
    <row r="23" spans="2:28" x14ac:dyDescent="0.3">
      <c r="B23" s="25" t="s">
        <v>27</v>
      </c>
      <c r="C23" s="45">
        <f>SUM(D23:XFD23)</f>
        <v>649.51070750576787</v>
      </c>
      <c r="D23" s="46">
        <f>(D84/D$94)*_xlfn.XLOOKUP(D$3,'Fund Management'!$A:$A,'Fund Management'!$F:$F)</f>
        <v>0</v>
      </c>
      <c r="E23" s="46">
        <f>(E84/E$94)*_xlfn.XLOOKUP(E$3,'Fund Management'!$A:$A,'Fund Management'!$F:$F)</f>
        <v>3.4513314631349576</v>
      </c>
      <c r="F23" s="46">
        <f>(F84/F$94)*_xlfn.XLOOKUP(F$3,'Fund Management'!$A:$A,'Fund Management'!$F:$F)</f>
        <v>-12.314771869268657</v>
      </c>
      <c r="G23" s="46">
        <f>(G84/G$94)*_xlfn.XLOOKUP(G$3,'Fund Management'!$A:$A,'Fund Management'!$F:$F)</f>
        <v>-44.011996746705044</v>
      </c>
      <c r="H23" s="46">
        <f>(H84/H$94)*_xlfn.XLOOKUP(H$3,'Fund Management'!$A:$A,'Fund Management'!$F:$F)</f>
        <v>-12.902583798415925</v>
      </c>
      <c r="I23" s="46">
        <f>(I84/I$94)*_xlfn.XLOOKUP(I$3,'Fund Management'!$A:$A,'Fund Management'!$F:$F)</f>
        <v>5.5159916274028884</v>
      </c>
      <c r="J23" s="46">
        <f>(J84/J$94)*_xlfn.XLOOKUP(J$3,'Fund Management'!$A:$A,'Fund Management'!$F:$F)</f>
        <v>2.8087516006926103</v>
      </c>
      <c r="K23" s="46">
        <f>(K84/K$94)*_xlfn.XLOOKUP(K$3,'Fund Management'!$A:$A,'Fund Management'!$F:$F)</f>
        <v>8.4644331091259222</v>
      </c>
      <c r="L23" s="46">
        <f>(L84/L$94)*_xlfn.XLOOKUP(L$3,'Fund Management'!$A:$A,'Fund Management'!$F:$F)</f>
        <v>-10.563986509342364</v>
      </c>
      <c r="M23" s="46">
        <f>(M84/M$94)*_xlfn.XLOOKUP(M$3,'Fund Management'!$A:$A,'Fund Management'!$F:$F)</f>
        <v>110.71119432746609</v>
      </c>
      <c r="N23" s="46">
        <f>(N84/N$94)*_xlfn.XLOOKUP(N$3,'Fund Management'!$A:$A,'Fund Management'!$F:$F)</f>
        <v>2.3759605346837742</v>
      </c>
      <c r="O23" s="46">
        <f>(O84/O$94)*_xlfn.XLOOKUP(O$3,'Fund Management'!$A:$A,'Fund Management'!$F:$F)</f>
        <v>11.500656000963499</v>
      </c>
      <c r="P23" s="46">
        <f>(P84/P$94)*_xlfn.XLOOKUP(P$3,'Fund Management'!$A:$A,'Fund Management'!$F:$F)</f>
        <v>16.299943859321157</v>
      </c>
      <c r="Q23" s="46">
        <f>(Q84/Q$94)*_xlfn.XLOOKUP(Q$3,'Fund Management'!$A:$A,'Fund Management'!$F:$F)</f>
        <v>2.6090172519996444</v>
      </c>
      <c r="R23" s="46">
        <f>(R84/R$94)*_xlfn.XLOOKUP(R$3,'Fund Management'!$A:$A,'Fund Management'!$F:$F)</f>
        <v>25.675697151792008</v>
      </c>
      <c r="S23" s="46">
        <f>(S84/S$94)*_xlfn.XLOOKUP(S$3,'Fund Management'!$A:$A,'Fund Management'!$F:$F)</f>
        <v>446.14491714437906</v>
      </c>
      <c r="T23" s="46">
        <f>(T84/T$94)*_xlfn.XLOOKUP(T$3,'Fund Management'!$A:$A,'Fund Management'!$F:$F)</f>
        <v>0.36809528476390219</v>
      </c>
      <c r="U23" s="46">
        <f>(U84/U$94)*_xlfn.XLOOKUP(U$3,'Fund Management'!$A:$A,'Fund Management'!$F:$F)</f>
        <v>-0.65357960538221593</v>
      </c>
      <c r="V23" s="46">
        <f>(V84/V$94)*_xlfn.XLOOKUP(V$3,'Fund Management'!$A:$A,'Fund Management'!$F:$F)</f>
        <v>6.0611449713221139</v>
      </c>
      <c r="W23" s="46">
        <f>(W84/W$94)*_xlfn.XLOOKUP(W$3,'Fund Management'!$A:$A,'Fund Management'!$F:$F)</f>
        <v>87.970491707834398</v>
      </c>
      <c r="X23" s="46">
        <f>(X84/X$94)*_xlfn.XLOOKUP(X$3,'Fund Management'!$A:$A,'Fund Management'!$F:$F)</f>
        <v>0</v>
      </c>
      <c r="Y23" s="46">
        <f>(Y84/Y$94)*_xlfn.XLOOKUP(Y$3,'Fund Management'!$A:$A,'Fund Management'!$F:$F)</f>
        <v>0</v>
      </c>
      <c r="Z23" s="46">
        <f>(Z84/Z$94)*_xlfn.XLOOKUP(Z$3,'Fund Management'!$A:$A,'Fund Management'!$F:$F)</f>
        <v>0</v>
      </c>
      <c r="AA23" s="46"/>
      <c r="AB23" s="46"/>
    </row>
    <row r="24" spans="2:28" x14ac:dyDescent="0.3">
      <c r="B24" s="25" t="s">
        <v>28</v>
      </c>
      <c r="C24" s="45">
        <f>SUM(D24:XFD24)</f>
        <v>649.51070750576787</v>
      </c>
      <c r="D24" s="46">
        <f>(D85/D$94)*_xlfn.XLOOKUP(D$3,'Fund Management'!$A:$A,'Fund Management'!$F:$F)</f>
        <v>0</v>
      </c>
      <c r="E24" s="46">
        <f>(E85/E$94)*_xlfn.XLOOKUP(E$3,'Fund Management'!$A:$A,'Fund Management'!$F:$F)</f>
        <v>3.4513314631349576</v>
      </c>
      <c r="F24" s="46">
        <f>(F85/F$94)*_xlfn.XLOOKUP(F$3,'Fund Management'!$A:$A,'Fund Management'!$F:$F)</f>
        <v>-12.314771869268657</v>
      </c>
      <c r="G24" s="46">
        <f>(G85/G$94)*_xlfn.XLOOKUP(G$3,'Fund Management'!$A:$A,'Fund Management'!$F:$F)</f>
        <v>-44.011996746705044</v>
      </c>
      <c r="H24" s="46">
        <f>(H85/H$94)*_xlfn.XLOOKUP(H$3,'Fund Management'!$A:$A,'Fund Management'!$F:$F)</f>
        <v>-12.902583798415925</v>
      </c>
      <c r="I24" s="46">
        <f>(I85/I$94)*_xlfn.XLOOKUP(I$3,'Fund Management'!$A:$A,'Fund Management'!$F:$F)</f>
        <v>5.5159916274028884</v>
      </c>
      <c r="J24" s="46">
        <f>(J85/J$94)*_xlfn.XLOOKUP(J$3,'Fund Management'!$A:$A,'Fund Management'!$F:$F)</f>
        <v>2.8087516006926103</v>
      </c>
      <c r="K24" s="46">
        <f>(K85/K$94)*_xlfn.XLOOKUP(K$3,'Fund Management'!$A:$A,'Fund Management'!$F:$F)</f>
        <v>8.4644331091259222</v>
      </c>
      <c r="L24" s="46">
        <f>(L85/L$94)*_xlfn.XLOOKUP(L$3,'Fund Management'!$A:$A,'Fund Management'!$F:$F)</f>
        <v>-10.563986509342364</v>
      </c>
      <c r="M24" s="46">
        <f>(M85/M$94)*_xlfn.XLOOKUP(M$3,'Fund Management'!$A:$A,'Fund Management'!$F:$F)</f>
        <v>110.71119432746609</v>
      </c>
      <c r="N24" s="46">
        <f>(N85/N$94)*_xlfn.XLOOKUP(N$3,'Fund Management'!$A:$A,'Fund Management'!$F:$F)</f>
        <v>2.3759605346837742</v>
      </c>
      <c r="O24" s="46">
        <f>(O85/O$94)*_xlfn.XLOOKUP(O$3,'Fund Management'!$A:$A,'Fund Management'!$F:$F)</f>
        <v>11.500656000963499</v>
      </c>
      <c r="P24" s="46">
        <f>(P85/P$94)*_xlfn.XLOOKUP(P$3,'Fund Management'!$A:$A,'Fund Management'!$F:$F)</f>
        <v>16.299943859321157</v>
      </c>
      <c r="Q24" s="46">
        <f>(Q85/Q$94)*_xlfn.XLOOKUP(Q$3,'Fund Management'!$A:$A,'Fund Management'!$F:$F)</f>
        <v>2.6090172519996444</v>
      </c>
      <c r="R24" s="46">
        <f>(R85/R$94)*_xlfn.XLOOKUP(R$3,'Fund Management'!$A:$A,'Fund Management'!$F:$F)</f>
        <v>25.675697151792008</v>
      </c>
      <c r="S24" s="46">
        <f>(S85/S$94)*_xlfn.XLOOKUP(S$3,'Fund Management'!$A:$A,'Fund Management'!$F:$F)</f>
        <v>446.14491714437906</v>
      </c>
      <c r="T24" s="46">
        <f>(T85/T$94)*_xlfn.XLOOKUP(T$3,'Fund Management'!$A:$A,'Fund Management'!$F:$F)</f>
        <v>0.36809528476390219</v>
      </c>
      <c r="U24" s="46">
        <f>(U85/U$94)*_xlfn.XLOOKUP(U$3,'Fund Management'!$A:$A,'Fund Management'!$F:$F)</f>
        <v>-0.65357960538221593</v>
      </c>
      <c r="V24" s="46">
        <f>(V85/V$94)*_xlfn.XLOOKUP(V$3,'Fund Management'!$A:$A,'Fund Management'!$F:$F)</f>
        <v>6.0611449713221139</v>
      </c>
      <c r="W24" s="46">
        <f>(W85/W$94)*_xlfn.XLOOKUP(W$3,'Fund Management'!$A:$A,'Fund Management'!$F:$F)</f>
        <v>87.970491707834398</v>
      </c>
      <c r="X24" s="46">
        <f>(X85/X$94)*_xlfn.XLOOKUP(X$3,'Fund Management'!$A:$A,'Fund Management'!$F:$F)</f>
        <v>0</v>
      </c>
      <c r="Y24" s="46">
        <f>(Y85/Y$94)*_xlfn.XLOOKUP(Y$3,'Fund Management'!$A:$A,'Fund Management'!$F:$F)</f>
        <v>0</v>
      </c>
      <c r="Z24" s="46">
        <f>(Z85/Z$94)*_xlfn.XLOOKUP(Z$3,'Fund Management'!$A:$A,'Fund Management'!$F:$F)</f>
        <v>0</v>
      </c>
      <c r="AA24" s="46"/>
      <c r="AB24" s="46"/>
    </row>
    <row r="25" spans="2:28" x14ac:dyDescent="0.3">
      <c r="B25" s="25" t="s">
        <v>29</v>
      </c>
      <c r="C25" s="45">
        <f>SUM(D25:XFD25)</f>
        <v>324.75535375288393</v>
      </c>
      <c r="D25" s="46">
        <f>(D86/D$94)*_xlfn.XLOOKUP(D$3,'Fund Management'!$A:$A,'Fund Management'!$F:$F)</f>
        <v>0</v>
      </c>
      <c r="E25" s="46">
        <f>(E86/E$94)*_xlfn.XLOOKUP(E$3,'Fund Management'!$A:$A,'Fund Management'!$F:$F)</f>
        <v>1.7256657315674788</v>
      </c>
      <c r="F25" s="46">
        <f>(F86/F$94)*_xlfn.XLOOKUP(F$3,'Fund Management'!$A:$A,'Fund Management'!$F:$F)</f>
        <v>-6.1573859346343287</v>
      </c>
      <c r="G25" s="46">
        <f>(G86/G$94)*_xlfn.XLOOKUP(G$3,'Fund Management'!$A:$A,'Fund Management'!$F:$F)</f>
        <v>-22.005998373352522</v>
      </c>
      <c r="H25" s="46">
        <f>(H86/H$94)*_xlfn.XLOOKUP(H$3,'Fund Management'!$A:$A,'Fund Management'!$F:$F)</f>
        <v>-6.4512918992079626</v>
      </c>
      <c r="I25" s="46">
        <f>(I86/I$94)*_xlfn.XLOOKUP(I$3,'Fund Management'!$A:$A,'Fund Management'!$F:$F)</f>
        <v>2.7579958137014442</v>
      </c>
      <c r="J25" s="46">
        <f>(J86/J$94)*_xlfn.XLOOKUP(J$3,'Fund Management'!$A:$A,'Fund Management'!$F:$F)</f>
        <v>1.4043758003463052</v>
      </c>
      <c r="K25" s="46">
        <f>(K86/K$94)*_xlfn.XLOOKUP(K$3,'Fund Management'!$A:$A,'Fund Management'!$F:$F)</f>
        <v>4.2322165545629611</v>
      </c>
      <c r="L25" s="46">
        <f>(L86/L$94)*_xlfn.XLOOKUP(L$3,'Fund Management'!$A:$A,'Fund Management'!$F:$F)</f>
        <v>-5.2819932546711819</v>
      </c>
      <c r="M25" s="46">
        <f>(M86/M$94)*_xlfn.XLOOKUP(M$3,'Fund Management'!$A:$A,'Fund Management'!$F:$F)</f>
        <v>55.355597163733044</v>
      </c>
      <c r="N25" s="46">
        <f>(N86/N$94)*_xlfn.XLOOKUP(N$3,'Fund Management'!$A:$A,'Fund Management'!$F:$F)</f>
        <v>1.1879802673418871</v>
      </c>
      <c r="O25" s="46">
        <f>(O86/O$94)*_xlfn.XLOOKUP(O$3,'Fund Management'!$A:$A,'Fund Management'!$F:$F)</f>
        <v>5.7503280004817494</v>
      </c>
      <c r="P25" s="46">
        <f>(P86/P$94)*_xlfn.XLOOKUP(P$3,'Fund Management'!$A:$A,'Fund Management'!$F:$F)</f>
        <v>8.1499719296605786</v>
      </c>
      <c r="Q25" s="46">
        <f>(Q86/Q$94)*_xlfn.XLOOKUP(Q$3,'Fund Management'!$A:$A,'Fund Management'!$F:$F)</f>
        <v>1.3045086259998222</v>
      </c>
      <c r="R25" s="46">
        <f>(R86/R$94)*_xlfn.XLOOKUP(R$3,'Fund Management'!$A:$A,'Fund Management'!$F:$F)</f>
        <v>12.837848575896004</v>
      </c>
      <c r="S25" s="46">
        <f>(S86/S$94)*_xlfn.XLOOKUP(S$3,'Fund Management'!$A:$A,'Fund Management'!$F:$F)</f>
        <v>223.07245857218953</v>
      </c>
      <c r="T25" s="46">
        <f>(T86/T$94)*_xlfn.XLOOKUP(T$3,'Fund Management'!$A:$A,'Fund Management'!$F:$F)</f>
        <v>0.18404764238195109</v>
      </c>
      <c r="U25" s="46">
        <f>(U86/U$94)*_xlfn.XLOOKUP(U$3,'Fund Management'!$A:$A,'Fund Management'!$F:$F)</f>
        <v>-0.32678980269110797</v>
      </c>
      <c r="V25" s="46">
        <f>(V86/V$94)*_xlfn.XLOOKUP(V$3,'Fund Management'!$A:$A,'Fund Management'!$F:$F)</f>
        <v>3.030572485661057</v>
      </c>
      <c r="W25" s="46">
        <f>(W86/W$94)*_xlfn.XLOOKUP(W$3,'Fund Management'!$A:$A,'Fund Management'!$F:$F)</f>
        <v>43.985245853917199</v>
      </c>
      <c r="X25" s="46">
        <f>(X86/X$94)*_xlfn.XLOOKUP(X$3,'Fund Management'!$A:$A,'Fund Management'!$F:$F)</f>
        <v>0</v>
      </c>
      <c r="Y25" s="46">
        <f>(Y86/Y$94)*_xlfn.XLOOKUP(Y$3,'Fund Management'!$A:$A,'Fund Management'!$F:$F)</f>
        <v>0</v>
      </c>
      <c r="Z25" s="46">
        <f>(Z86/Z$94)*_xlfn.XLOOKUP(Z$3,'Fund Management'!$A:$A,'Fund Management'!$F:$F)</f>
        <v>0</v>
      </c>
      <c r="AA25" s="46"/>
      <c r="AB25" s="46"/>
    </row>
    <row r="26" spans="2:28" x14ac:dyDescent="0.3">
      <c r="B26" s="23" t="s">
        <v>30</v>
      </c>
      <c r="C26" s="45">
        <f t="shared" ref="C26:C31" si="0">SUM(D26:XFD26)</f>
        <v>6389.3253074159193</v>
      </c>
      <c r="D26" s="46">
        <f>(D87/D$94)*_xlfn.XLOOKUP(D$3,'Fund Management'!$A:$A,'Fund Management'!$F:$F)</f>
        <v>0</v>
      </c>
      <c r="E26" s="46">
        <f>(E87/E$94)*_xlfn.XLOOKUP(E$3,'Fund Management'!$A:$A,'Fund Management'!$F:$F)</f>
        <v>0</v>
      </c>
      <c r="F26" s="46">
        <f>(F87/F$94)*_xlfn.XLOOKUP(F$3,'Fund Management'!$A:$A,'Fund Management'!$F:$F)</f>
        <v>-121.78924488541072</v>
      </c>
      <c r="G26" s="46">
        <f>(G87/G$94)*_xlfn.XLOOKUP(G$3,'Fund Management'!$A:$A,'Fund Management'!$F:$F)</f>
        <v>-435.26489216228481</v>
      </c>
      <c r="H26" s="46">
        <f>(H87/H$94)*_xlfn.XLOOKUP(H$3,'Fund Management'!$A:$A,'Fund Management'!$F:$F)</f>
        <v>-127.60252114789124</v>
      </c>
      <c r="I26" s="46">
        <f>(I87/I$94)*_xlfn.XLOOKUP(I$3,'Fund Management'!$A:$A,'Fund Management'!$F:$F)</f>
        <v>54.551433207795291</v>
      </c>
      <c r="J26" s="46">
        <f>(J87/J$94)*_xlfn.XLOOKUP(J$3,'Fund Management'!$A:$A,'Fund Management'!$F:$F)</f>
        <v>27.777675473849982</v>
      </c>
      <c r="K26" s="46">
        <f>(K87/K$94)*_xlfn.XLOOKUP(K$3,'Fund Management'!$A:$A,'Fund Management'!$F:$F)</f>
        <v>83.710597945874611</v>
      </c>
      <c r="L26" s="46">
        <f>(L87/L$94)*_xlfn.XLOOKUP(L$3,'Fund Management'!$A:$A,'Fund Management'!$F:$F)</f>
        <v>-104.47452487228891</v>
      </c>
      <c r="M26" s="46">
        <f>(M87/M$94)*_xlfn.XLOOKUP(M$3,'Fund Management'!$A:$A,'Fund Management'!$F:$F)</f>
        <v>1094.8991098366816</v>
      </c>
      <c r="N26" s="46">
        <f>(N87/N$94)*_xlfn.XLOOKUP(N$3,'Fund Management'!$A:$A,'Fund Management'!$F:$F)</f>
        <v>23.497507097048505</v>
      </c>
      <c r="O26" s="46">
        <f>(O87/O$94)*_xlfn.XLOOKUP(O$3,'Fund Management'!$A:$A,'Fund Management'!$F:$F)</f>
        <v>113.73789339447936</v>
      </c>
      <c r="P26" s="46">
        <f>(P87/P$94)*_xlfn.XLOOKUP(P$3,'Fund Management'!$A:$A,'Fund Management'!$F:$F)</f>
        <v>161.20135032750747</v>
      </c>
      <c r="Q26" s="46">
        <f>(Q87/Q$94)*_xlfn.XLOOKUP(Q$3,'Fund Management'!$A:$A,'Fund Management'!$F:$F)</f>
        <v>25.802365190944975</v>
      </c>
      <c r="R26" s="46">
        <f>(R87/R$94)*_xlfn.XLOOKUP(R$3,'Fund Management'!$A:$A,'Fund Management'!$F:$F)</f>
        <v>253.9246200594819</v>
      </c>
      <c r="S26" s="46">
        <f>(S87/S$94)*_xlfn.XLOOKUP(S$3,'Fund Management'!$A:$A,'Fund Management'!$F:$F)</f>
        <v>4412.2337908728887</v>
      </c>
      <c r="T26" s="46">
        <f>(T87/T$94)*_xlfn.XLOOKUP(T$3,'Fund Management'!$A:$A,'Fund Management'!$F:$F)</f>
        <v>3.6403473205336949</v>
      </c>
      <c r="U26" s="46">
        <f>(U87/U$94)*_xlfn.XLOOKUP(U$3,'Fund Management'!$A:$A,'Fund Management'!$F:$F)</f>
        <v>-6.463698025185745</v>
      </c>
      <c r="V26" s="46">
        <f>(V87/V$94)*_xlfn.XLOOKUP(V$3,'Fund Management'!$A:$A,'Fund Management'!$F:$F)</f>
        <v>59.942829395033151</v>
      </c>
      <c r="W26" s="46">
        <f>(W87/W$94)*_xlfn.XLOOKUP(W$3,'Fund Management'!$A:$A,'Fund Management'!$F:$F)</f>
        <v>870.00066838686018</v>
      </c>
      <c r="X26" s="46">
        <f>(X87/X$94)*_xlfn.XLOOKUP(X$3,'Fund Management'!$A:$A,'Fund Management'!$F:$F)</f>
        <v>0</v>
      </c>
      <c r="Y26" s="46">
        <f>(Y87/Y$94)*_xlfn.XLOOKUP(Y$3,'Fund Management'!$A:$A,'Fund Management'!$F:$F)</f>
        <v>0</v>
      </c>
      <c r="Z26" s="46">
        <f>(Z87/Z$94)*_xlfn.XLOOKUP(Z$3,'Fund Management'!$A:$A,'Fund Management'!$F:$F)</f>
        <v>0</v>
      </c>
      <c r="AA26" s="46"/>
      <c r="AB26" s="46"/>
    </row>
    <row r="27" spans="2:28" x14ac:dyDescent="0.3">
      <c r="B27" s="23" t="s">
        <v>31</v>
      </c>
      <c r="C27" s="45">
        <f t="shared" si="0"/>
        <v>20643.90829558203</v>
      </c>
      <c r="D27" s="46">
        <f>(D88/D$94)*_xlfn.XLOOKUP(D$3,'Fund Management'!$A:$A,'Fund Management'!$F:$F)</f>
        <v>0</v>
      </c>
      <c r="E27" s="46">
        <f>(E88/E$94)*_xlfn.XLOOKUP(E$3,'Fund Management'!$A:$A,'Fund Management'!$F:$F)</f>
        <v>0</v>
      </c>
      <c r="F27" s="46">
        <f>(F88/F$94)*_xlfn.XLOOKUP(F$3,'Fund Management'!$A:$A,'Fund Management'!$F:$F)</f>
        <v>-393.50101643508901</v>
      </c>
      <c r="G27" s="46">
        <f>(G88/G$94)*_xlfn.XLOOKUP(G$3,'Fund Management'!$A:$A,'Fund Management'!$F:$F)</f>
        <v>-1406.3407458147888</v>
      </c>
      <c r="H27" s="46">
        <f>(H88/H$94)*_xlfn.XLOOKUP(H$3,'Fund Management'!$A:$A,'Fund Management'!$F:$F)</f>
        <v>-412.28371042630596</v>
      </c>
      <c r="I27" s="46">
        <f>(I88/I$94)*_xlfn.XLOOKUP(I$3,'Fund Management'!$A:$A,'Fund Management'!$F:$F)</f>
        <v>176.25566555942871</v>
      </c>
      <c r="J27" s="46">
        <f>(J88/J$94)*_xlfn.XLOOKUP(J$3,'Fund Management'!$A:$A,'Fund Management'!$F:$F)</f>
        <v>89.749661749264959</v>
      </c>
      <c r="K27" s="46">
        <f>(K88/K$94)*_xlfn.XLOOKUP(K$3,'Fund Management'!$A:$A,'Fund Management'!$F:$F)</f>
        <v>270.46891873813303</v>
      </c>
      <c r="L27" s="46">
        <f>(L88/L$94)*_xlfn.XLOOKUP(L$3,'Fund Management'!$A:$A,'Fund Management'!$F:$F)</f>
        <v>-337.55716087655446</v>
      </c>
      <c r="M27" s="46">
        <f>(M88/M$94)*_xlfn.XLOOKUP(M$3,'Fund Management'!$A:$A,'Fund Management'!$F:$F)</f>
        <v>3537.6187201093294</v>
      </c>
      <c r="N27" s="46">
        <f>(N88/N$94)*_xlfn.XLOOKUP(N$3,'Fund Management'!$A:$A,'Fund Management'!$F:$F)</f>
        <v>75.920438911325661</v>
      </c>
      <c r="O27" s="46">
        <f>(O88/O$94)*_xlfn.XLOOKUP(O$3,'Fund Management'!$A:$A,'Fund Management'!$F:$F)</f>
        <v>367.48710200168745</v>
      </c>
      <c r="P27" s="46">
        <f>(P88/P$94)*_xlfn.XLOOKUP(P$3,'Fund Management'!$A:$A,'Fund Management'!$F:$F)</f>
        <v>520.84151818385862</v>
      </c>
      <c r="Q27" s="46">
        <f>(Q88/Q$94)*_xlfn.XLOOKUP(Q$3,'Fund Management'!$A:$A,'Fund Management'!$F:$F)</f>
        <v>83.367434773236511</v>
      </c>
      <c r="R27" s="46">
        <f>(R88/R$94)*_xlfn.XLOOKUP(R$3,'Fund Management'!$A:$A,'Fund Management'!$F:$F)</f>
        <v>820.43037696237013</v>
      </c>
      <c r="S27" s="46">
        <f>(S88/S$94)*_xlfn.XLOOKUP(S$3,'Fund Management'!$A:$A,'Fund Management'!$F:$F)</f>
        <v>14255.926154163319</v>
      </c>
      <c r="T27" s="46">
        <f>(T88/T$94)*_xlfn.XLOOKUP(T$3,'Fund Management'!$A:$A,'Fund Management'!$F:$F)</f>
        <v>11.761961182652509</v>
      </c>
      <c r="U27" s="46">
        <f>(U88/U$94)*_xlfn.XLOOKUP(U$3,'Fund Management'!$A:$A,'Fund Management'!$F:$F)</f>
        <v>-20.884206526062087</v>
      </c>
      <c r="V27" s="46">
        <f>(V88/V$94)*_xlfn.XLOOKUP(V$3,'Fund Management'!$A:$A,'Fund Management'!$F:$F)</f>
        <v>193.67526514458467</v>
      </c>
      <c r="W27" s="46">
        <f>(W88/W$94)*_xlfn.XLOOKUP(W$3,'Fund Management'!$A:$A,'Fund Management'!$F:$F)</f>
        <v>2810.9719181816386</v>
      </c>
      <c r="X27" s="46">
        <f>(X88/X$94)*_xlfn.XLOOKUP(X$3,'Fund Management'!$A:$A,'Fund Management'!$F:$F)</f>
        <v>0</v>
      </c>
      <c r="Y27" s="46">
        <f>(Y88/Y$94)*_xlfn.XLOOKUP(Y$3,'Fund Management'!$A:$A,'Fund Management'!$F:$F)</f>
        <v>0</v>
      </c>
      <c r="Z27" s="46">
        <f>(Z88/Z$94)*_xlfn.XLOOKUP(Z$3,'Fund Management'!$A:$A,'Fund Management'!$F:$F)</f>
        <v>0</v>
      </c>
      <c r="AA27" s="46"/>
      <c r="AB27" s="46"/>
    </row>
    <row r="28" spans="2:28" x14ac:dyDescent="0.3">
      <c r="B28" s="23" t="s">
        <v>32</v>
      </c>
      <c r="C28" s="45">
        <f t="shared" si="0"/>
        <v>638.9325307415919</v>
      </c>
      <c r="D28" s="46">
        <f>(D89/D$94)*_xlfn.XLOOKUP(D$3,'Fund Management'!$A:$A,'Fund Management'!$F:$F)</f>
        <v>0</v>
      </c>
      <c r="E28" s="46">
        <f>(E89/E$94)*_xlfn.XLOOKUP(E$3,'Fund Management'!$A:$A,'Fund Management'!$F:$F)</f>
        <v>0</v>
      </c>
      <c r="F28" s="46">
        <f>(F89/F$94)*_xlfn.XLOOKUP(F$3,'Fund Management'!$A:$A,'Fund Management'!$F:$F)</f>
        <v>-12.178924488541073</v>
      </c>
      <c r="G28" s="46">
        <f>(G89/G$94)*_xlfn.XLOOKUP(G$3,'Fund Management'!$A:$A,'Fund Management'!$F:$F)</f>
        <v>-43.526489216228484</v>
      </c>
      <c r="H28" s="46">
        <f>(H89/H$94)*_xlfn.XLOOKUP(H$3,'Fund Management'!$A:$A,'Fund Management'!$F:$F)</f>
        <v>-12.760252114789123</v>
      </c>
      <c r="I28" s="46">
        <f>(I89/I$94)*_xlfn.XLOOKUP(I$3,'Fund Management'!$A:$A,'Fund Management'!$F:$F)</f>
        <v>5.4551433207795297</v>
      </c>
      <c r="J28" s="46">
        <f>(J89/J$94)*_xlfn.XLOOKUP(J$3,'Fund Management'!$A:$A,'Fund Management'!$F:$F)</f>
        <v>2.7777675473849981</v>
      </c>
      <c r="K28" s="46">
        <f>(K89/K$94)*_xlfn.XLOOKUP(K$3,'Fund Management'!$A:$A,'Fund Management'!$F:$F)</f>
        <v>8.3710597945874614</v>
      </c>
      <c r="L28" s="46">
        <f>(L89/L$94)*_xlfn.XLOOKUP(L$3,'Fund Management'!$A:$A,'Fund Management'!$F:$F)</f>
        <v>-10.447452487228892</v>
      </c>
      <c r="M28" s="46">
        <f>(M89/M$94)*_xlfn.XLOOKUP(M$3,'Fund Management'!$A:$A,'Fund Management'!$F:$F)</f>
        <v>109.48991098366817</v>
      </c>
      <c r="N28" s="46">
        <f>(N89/N$94)*_xlfn.XLOOKUP(N$3,'Fund Management'!$A:$A,'Fund Management'!$F:$F)</f>
        <v>2.3497507097048507</v>
      </c>
      <c r="O28" s="46">
        <f>(O89/O$94)*_xlfn.XLOOKUP(O$3,'Fund Management'!$A:$A,'Fund Management'!$F:$F)</f>
        <v>11.373789339447937</v>
      </c>
      <c r="P28" s="46">
        <f>(P89/P$94)*_xlfn.XLOOKUP(P$3,'Fund Management'!$A:$A,'Fund Management'!$F:$F)</f>
        <v>16.120135032750749</v>
      </c>
      <c r="Q28" s="46">
        <f>(Q89/Q$94)*_xlfn.XLOOKUP(Q$3,'Fund Management'!$A:$A,'Fund Management'!$F:$F)</f>
        <v>2.5802365190944974</v>
      </c>
      <c r="R28" s="46">
        <f>(R89/R$94)*_xlfn.XLOOKUP(R$3,'Fund Management'!$A:$A,'Fund Management'!$F:$F)</f>
        <v>25.39246200594819</v>
      </c>
      <c r="S28" s="46">
        <f>(S89/S$94)*_xlfn.XLOOKUP(S$3,'Fund Management'!$A:$A,'Fund Management'!$F:$F)</f>
        <v>441.22337908728889</v>
      </c>
      <c r="T28" s="46">
        <f>(T89/T$94)*_xlfn.XLOOKUP(T$3,'Fund Management'!$A:$A,'Fund Management'!$F:$F)</f>
        <v>0.36403473205336945</v>
      </c>
      <c r="U28" s="46">
        <f>(U89/U$94)*_xlfn.XLOOKUP(U$3,'Fund Management'!$A:$A,'Fund Management'!$F:$F)</f>
        <v>-0.64636980251857457</v>
      </c>
      <c r="V28" s="46">
        <f>(V89/V$94)*_xlfn.XLOOKUP(V$3,'Fund Management'!$A:$A,'Fund Management'!$F:$F)</f>
        <v>5.9942829395033153</v>
      </c>
      <c r="W28" s="46">
        <f>(W89/W$94)*_xlfn.XLOOKUP(W$3,'Fund Management'!$A:$A,'Fund Management'!$F:$F)</f>
        <v>87.000066838686024</v>
      </c>
      <c r="X28" s="46">
        <f>(X89/X$94)*_xlfn.XLOOKUP(X$3,'Fund Management'!$A:$A,'Fund Management'!$F:$F)</f>
        <v>0</v>
      </c>
      <c r="Y28" s="46">
        <f>(Y89/Y$94)*_xlfn.XLOOKUP(Y$3,'Fund Management'!$A:$A,'Fund Management'!$F:$F)</f>
        <v>0</v>
      </c>
      <c r="Z28" s="46">
        <f>(Z89/Z$94)*_xlfn.XLOOKUP(Z$3,'Fund Management'!$A:$A,'Fund Management'!$F:$F)</f>
        <v>0</v>
      </c>
      <c r="AA28" s="46"/>
      <c r="AB28" s="46"/>
    </row>
    <row r="29" spans="2:28" x14ac:dyDescent="0.3">
      <c r="B29" s="23" t="s">
        <v>5</v>
      </c>
      <c r="C29" s="45">
        <f t="shared" si="0"/>
        <v>1717.6837384183634</v>
      </c>
      <c r="D29" s="46">
        <f>(D90/D$94)*_xlfn.XLOOKUP(D$3,'Fund Management'!$A:$A,'Fund Management'!$F:$F)</f>
        <v>0</v>
      </c>
      <c r="E29" s="46">
        <f>(E90/E$94)*_xlfn.XLOOKUP(E$3,'Fund Management'!$A:$A,'Fund Management'!$F:$F)</f>
        <v>0</v>
      </c>
      <c r="F29" s="46">
        <f>(F90/F$94)*_xlfn.XLOOKUP(F$3,'Fund Management'!$A:$A,'Fund Management'!$F:$F)</f>
        <v>0</v>
      </c>
      <c r="G29" s="46">
        <f>(G90/G$94)*_xlfn.XLOOKUP(G$3,'Fund Management'!$A:$A,'Fund Management'!$F:$F)</f>
        <v>-114.8263359776593</v>
      </c>
      <c r="H29" s="46">
        <f>(H90/H$94)*_xlfn.XLOOKUP(H$3,'Fund Management'!$A:$A,'Fund Management'!$F:$F)</f>
        <v>-33.662558659707415</v>
      </c>
      <c r="I29" s="46">
        <f>(I90/I$94)*_xlfn.XLOOKUP(I$3,'Fund Management'!$A:$A,'Fund Management'!$F:$F)</f>
        <v>14.391101396814898</v>
      </c>
      <c r="J29" s="46">
        <f>(J90/J$94)*_xlfn.XLOOKUP(J$3,'Fund Management'!$A:$A,'Fund Management'!$F:$F)</f>
        <v>7.3279714354941952</v>
      </c>
      <c r="K29" s="46">
        <f>(K90/K$94)*_xlfn.XLOOKUP(K$3,'Fund Management'!$A:$A,'Fund Management'!$F:$F)</f>
        <v>22.083520673750858</v>
      </c>
      <c r="L29" s="46">
        <f>(L90/L$94)*_xlfn.XLOOKUP(L$3,'Fund Management'!$A:$A,'Fund Management'!$F:$F)</f>
        <v>-27.56120953035423</v>
      </c>
      <c r="M29" s="46">
        <f>(M90/M$94)*_xlfn.XLOOKUP(M$3,'Fund Management'!$A:$A,'Fund Management'!$F:$F)</f>
        <v>288.84308225087</v>
      </c>
      <c r="N29" s="46">
        <f>(N90/N$94)*_xlfn.XLOOKUP(N$3,'Fund Management'!$A:$A,'Fund Management'!$F:$F)</f>
        <v>6.1988290191738002</v>
      </c>
      <c r="O29" s="46">
        <f>(O90/O$94)*_xlfn.XLOOKUP(O$3,'Fund Management'!$A:$A,'Fund Management'!$F:$F)</f>
        <v>30.004959727917441</v>
      </c>
      <c r="P29" s="46">
        <f>(P90/P$94)*_xlfn.XLOOKUP(P$3,'Fund Management'!$A:$A,'Fund Management'!$F:$F)</f>
        <v>42.526196681760815</v>
      </c>
      <c r="Q29" s="46">
        <f>(Q90/Q$94)*_xlfn.XLOOKUP(Q$3,'Fund Management'!$A:$A,'Fund Management'!$F:$F)</f>
        <v>6.8068688924468947</v>
      </c>
      <c r="R29" s="46">
        <f>(R90/R$94)*_xlfn.XLOOKUP(R$3,'Fund Management'!$A:$A,'Fund Management'!$F:$F)</f>
        <v>66.987331762743068</v>
      </c>
      <c r="S29" s="46">
        <f>(S90/S$94)*_xlfn.XLOOKUP(S$3,'Fund Management'!$A:$A,'Fund Management'!$F:$F)</f>
        <v>1163.9823215832787</v>
      </c>
      <c r="T29" s="46">
        <f>(T90/T$94)*_xlfn.XLOOKUP(T$3,'Fund Management'!$A:$A,'Fund Management'!$F:$F)</f>
        <v>0.96035253940748155</v>
      </c>
      <c r="U29" s="46">
        <f>(U90/U$94)*_xlfn.XLOOKUP(U$3,'Fund Management'!$A:$A,'Fund Management'!$F:$F)</f>
        <v>-1.7051748819231378</v>
      </c>
      <c r="V29" s="46">
        <f>(V90/V$94)*_xlfn.XLOOKUP(V$3,'Fund Management'!$A:$A,'Fund Management'!$F:$F)</f>
        <v>15.813394536307593</v>
      </c>
      <c r="W29" s="46">
        <f>(W90/W$94)*_xlfn.XLOOKUP(W$3,'Fund Management'!$A:$A,'Fund Management'!$F:$F)</f>
        <v>229.51308696804168</v>
      </c>
      <c r="X29" s="46">
        <f>(X90/X$94)*_xlfn.XLOOKUP(X$3,'Fund Management'!$A:$A,'Fund Management'!$F:$F)</f>
        <v>0</v>
      </c>
      <c r="Y29" s="46">
        <f>(Y90/Y$94)*_xlfn.XLOOKUP(Y$3,'Fund Management'!$A:$A,'Fund Management'!$F:$F)</f>
        <v>0</v>
      </c>
      <c r="Z29" s="46">
        <f>(Z90/Z$94)*_xlfn.XLOOKUP(Z$3,'Fund Management'!$A:$A,'Fund Management'!$F:$F)</f>
        <v>0</v>
      </c>
      <c r="AA29" s="46"/>
      <c r="AB29" s="46"/>
    </row>
    <row r="30" spans="2:28" x14ac:dyDescent="0.3">
      <c r="B30" s="23" t="s">
        <v>33</v>
      </c>
      <c r="C30" s="45">
        <f t="shared" si="0"/>
        <v>7832.8283263392395</v>
      </c>
      <c r="D30" s="46">
        <f>(D91/D$94)*_xlfn.XLOOKUP(D$3,'Fund Management'!$A:$A,'Fund Management'!$F:$F)</f>
        <v>0</v>
      </c>
      <c r="E30" s="46">
        <f>(E91/E$94)*_xlfn.XLOOKUP(E$3,'Fund Management'!$A:$A,'Fund Management'!$F:$F)</f>
        <v>0</v>
      </c>
      <c r="F30" s="46">
        <f>(F91/F$94)*_xlfn.XLOOKUP(F$3,'Fund Management'!$A:$A,'Fund Management'!$F:$F)</f>
        <v>0</v>
      </c>
      <c r="G30" s="46">
        <f>(G91/G$94)*_xlfn.XLOOKUP(G$3,'Fund Management'!$A:$A,'Fund Management'!$F:$F)</f>
        <v>0</v>
      </c>
      <c r="H30" s="46">
        <f>(H91/H$94)*_xlfn.XLOOKUP(H$3,'Fund Management'!$A:$A,'Fund Management'!$F:$F)</f>
        <v>0</v>
      </c>
      <c r="I30" s="46">
        <f>(I91/I$94)*_xlfn.XLOOKUP(I$3,'Fund Management'!$A:$A,'Fund Management'!$F:$F)</f>
        <v>60.403322110460749</v>
      </c>
      <c r="J30" s="46">
        <f>(J91/J$94)*_xlfn.XLOOKUP(J$3,'Fund Management'!$A:$A,'Fund Management'!$F:$F)</f>
        <v>30.757466494703248</v>
      </c>
      <c r="K30" s="46">
        <f>(K91/K$94)*_xlfn.XLOOKUP(K$3,'Fund Management'!$A:$A,'Fund Management'!$F:$F)</f>
        <v>92.690474190170107</v>
      </c>
      <c r="L30" s="46">
        <f>(L91/L$94)*_xlfn.XLOOKUP(L$3,'Fund Management'!$A:$A,'Fund Management'!$F:$F)</f>
        <v>-115.68180718845782</v>
      </c>
      <c r="M30" s="46">
        <f>(M91/M$94)*_xlfn.XLOOKUP(M$3,'Fund Management'!$A:$A,'Fund Management'!$F:$F)</f>
        <v>1212.3520817134313</v>
      </c>
      <c r="N30" s="46">
        <f>(N91/N$94)*_xlfn.XLOOKUP(N$3,'Fund Management'!$A:$A,'Fund Management'!$F:$F)</f>
        <v>26.01815216420454</v>
      </c>
      <c r="O30" s="46">
        <f>(O91/O$94)*_xlfn.XLOOKUP(O$3,'Fund Management'!$A:$A,'Fund Management'!$F:$F)</f>
        <v>125.93888385484715</v>
      </c>
      <c r="P30" s="46">
        <f>(P91/P$94)*_xlfn.XLOOKUP(P$3,'Fund Management'!$A:$A,'Fund Management'!$F:$F)</f>
        <v>178.4938821200806</v>
      </c>
      <c r="Q30" s="46">
        <f>(Q91/Q$94)*_xlfn.XLOOKUP(Q$3,'Fund Management'!$A:$A,'Fund Management'!$F:$F)</f>
        <v>28.570259004994863</v>
      </c>
      <c r="R30" s="46">
        <f>(R91/R$94)*_xlfn.XLOOKUP(R$3,'Fund Management'!$A:$A,'Fund Management'!$F:$F)</f>
        <v>281.1638432817104</v>
      </c>
      <c r="S30" s="46">
        <f>(S91/S$94)*_xlfn.XLOOKUP(S$3,'Fund Management'!$A:$A,'Fund Management'!$F:$F)</f>
        <v>4885.546780807038</v>
      </c>
      <c r="T30" s="46">
        <f>(T91/T$94)*_xlfn.XLOOKUP(T$3,'Fund Management'!$A:$A,'Fund Management'!$F:$F)</f>
        <v>4.0308578320675128</v>
      </c>
      <c r="U30" s="46">
        <f>(U91/U$94)*_xlfn.XLOOKUP(U$3,'Fund Management'!$A:$A,'Fund Management'!$F:$F)</f>
        <v>-7.1570774749920236</v>
      </c>
      <c r="V30" s="46">
        <f>(V91/V$94)*_xlfn.XLOOKUP(V$3,'Fund Management'!$A:$A,'Fund Management'!$F:$F)</f>
        <v>66.373068849879175</v>
      </c>
      <c r="W30" s="46">
        <f>(W91/W$94)*_xlfn.XLOOKUP(W$3,'Fund Management'!$A:$A,'Fund Management'!$F:$F)</f>
        <v>963.32813857910219</v>
      </c>
      <c r="X30" s="46">
        <f>(X91/X$94)*_xlfn.XLOOKUP(X$3,'Fund Management'!$A:$A,'Fund Management'!$F:$F)</f>
        <v>0</v>
      </c>
      <c r="Y30" s="46">
        <f>(Y91/Y$94)*_xlfn.XLOOKUP(Y$3,'Fund Management'!$A:$A,'Fund Management'!$F:$F)</f>
        <v>0</v>
      </c>
      <c r="Z30" s="46">
        <f>(Z91/Z$94)*_xlfn.XLOOKUP(Z$3,'Fund Management'!$A:$A,'Fund Management'!$F:$F)</f>
        <v>0</v>
      </c>
      <c r="AA30" s="46"/>
      <c r="AB30" s="46"/>
    </row>
    <row r="31" spans="2:28" x14ac:dyDescent="0.3">
      <c r="B31" s="23" t="s">
        <v>34</v>
      </c>
      <c r="C31" s="45">
        <f t="shared" si="0"/>
        <v>3028.2498326757282</v>
      </c>
      <c r="D31" s="46">
        <f>(D92/D$94)*_xlfn.XLOOKUP(D$3,'Fund Management'!$A:$A,'Fund Management'!$F:$F)</f>
        <v>0</v>
      </c>
      <c r="E31" s="46">
        <f>(E92/E$94)*_xlfn.XLOOKUP(E$3,'Fund Management'!$A:$A,'Fund Management'!$F:$F)</f>
        <v>0</v>
      </c>
      <c r="F31" s="46">
        <f>(F92/F$94)*_xlfn.XLOOKUP(F$3,'Fund Management'!$A:$A,'Fund Management'!$F:$F)</f>
        <v>0</v>
      </c>
      <c r="G31" s="46">
        <f>(G92/G$94)*_xlfn.XLOOKUP(G$3,'Fund Management'!$A:$A,'Fund Management'!$F:$F)</f>
        <v>0</v>
      </c>
      <c r="H31" s="46">
        <f>(H92/H$94)*_xlfn.XLOOKUP(H$3,'Fund Management'!$A:$A,'Fund Management'!$F:$F)</f>
        <v>0</v>
      </c>
      <c r="I31" s="46">
        <f>(I92/I$94)*_xlfn.XLOOKUP(I$3,'Fund Management'!$A:$A,'Fund Management'!$F:$F)</f>
        <v>0</v>
      </c>
      <c r="J31" s="46">
        <f>(J92/J$94)*_xlfn.XLOOKUP(J$3,'Fund Management'!$A:$A,'Fund Management'!$F:$F)</f>
        <v>0</v>
      </c>
      <c r="K31" s="46">
        <f>(K92/K$94)*_xlfn.XLOOKUP(K$3,'Fund Management'!$A:$A,'Fund Management'!$F:$F)</f>
        <v>0</v>
      </c>
      <c r="L31" s="46">
        <f>(L92/L$94)*_xlfn.XLOOKUP(L$3,'Fund Management'!$A:$A,'Fund Management'!$F:$F)</f>
        <v>0</v>
      </c>
      <c r="M31" s="46">
        <f>(M92/M$94)*_xlfn.XLOOKUP(M$3,'Fund Management'!$A:$A,'Fund Management'!$F:$F)</f>
        <v>0</v>
      </c>
      <c r="N31" s="46">
        <f>(N92/N$94)*_xlfn.XLOOKUP(N$3,'Fund Management'!$A:$A,'Fund Management'!$F:$F)</f>
        <v>0</v>
      </c>
      <c r="O31" s="46">
        <f>(O92/O$94)*_xlfn.XLOOKUP(O$3,'Fund Management'!$A:$A,'Fund Management'!$F:$F)</f>
        <v>0</v>
      </c>
      <c r="P31" s="46">
        <f>(P92/P$94)*_xlfn.XLOOKUP(P$3,'Fund Management'!$A:$A,'Fund Management'!$F:$F)</f>
        <v>0</v>
      </c>
      <c r="Q31" s="46">
        <f>(Q92/Q$94)*_xlfn.XLOOKUP(Q$3,'Fund Management'!$A:$A,'Fund Management'!$F:$F)</f>
        <v>6.9898196457898889</v>
      </c>
      <c r="R31" s="46">
        <f>(R92/R$94)*_xlfn.XLOOKUP(R$3,'Fund Management'!$A:$A,'Fund Management'!$F:$F)</f>
        <v>137.15968066903025</v>
      </c>
      <c r="S31" s="46">
        <f>(S92/S$94)*_xlfn.XLOOKUP(S$3,'Fund Management'!$A:$A,'Fund Management'!$F:$F)</f>
        <v>2383.3079976705944</v>
      </c>
      <c r="T31" s="46">
        <f>(T92/T$94)*_xlfn.XLOOKUP(T$3,'Fund Management'!$A:$A,'Fund Management'!$F:$F)</f>
        <v>1.966366537800857</v>
      </c>
      <c r="U31" s="46">
        <f>(U92/U$94)*_xlfn.XLOOKUP(U$3,'Fund Management'!$A:$A,'Fund Management'!$F:$F)</f>
        <v>-3.4914249625256568</v>
      </c>
      <c r="V31" s="46">
        <f>(V92/V$94)*_xlfn.XLOOKUP(V$3,'Fund Management'!$A:$A,'Fund Management'!$F:$F)</f>
        <v>32.378661574033117</v>
      </c>
      <c r="W31" s="46">
        <f>(W92/W$94)*_xlfn.XLOOKUP(W$3,'Fund Management'!$A:$A,'Fund Management'!$F:$F)</f>
        <v>469.93873154100527</v>
      </c>
      <c r="X31" s="46">
        <f>(X92/X$94)*_xlfn.XLOOKUP(X$3,'Fund Management'!$A:$A,'Fund Management'!$F:$F)</f>
        <v>0</v>
      </c>
      <c r="Y31" s="46">
        <f>(Y92/Y$94)*_xlfn.XLOOKUP(Y$3,'Fund Management'!$A:$A,'Fund Management'!$F:$F)</f>
        <v>0</v>
      </c>
      <c r="Z31" s="46">
        <f>(Z92/Z$94)*_xlfn.XLOOKUP(Z$3,'Fund Management'!$A:$A,'Fund Management'!$F:$F)</f>
        <v>0</v>
      </c>
      <c r="AA31" s="46"/>
      <c r="AB31" s="46"/>
    </row>
    <row r="32" spans="2:28" x14ac:dyDescent="0.3">
      <c r="B32" s="25"/>
      <c r="C32" s="48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 spans="1:28" ht="15.75" customHeight="1" thickBot="1" x14ac:dyDescent="0.35">
      <c r="B33" s="26" t="s">
        <v>56</v>
      </c>
      <c r="C33" s="40"/>
      <c r="D33" s="41">
        <f>SUM(D6:D31)</f>
        <v>493.3706780000004</v>
      </c>
      <c r="E33" s="41">
        <f>SUM(E6:E32)</f>
        <v>108.99224600000002</v>
      </c>
      <c r="F33" s="41">
        <f>SUM(F6:F32)</f>
        <v>-919.41183391595769</v>
      </c>
      <c r="G33" s="41">
        <f>SUM(G6:G32)</f>
        <v>-3400.7297268615348</v>
      </c>
      <c r="H33" s="41">
        <f>SUM(H6:H32)</f>
        <v>-996.9599999999997</v>
      </c>
      <c r="I33" s="41">
        <f>SUM(I6:I32)</f>
        <v>486.61431200000004</v>
      </c>
      <c r="J33" s="41">
        <f>SUM(J6:J32)</f>
        <v>247.78477199999992</v>
      </c>
      <c r="K33" s="41">
        <f>SUM(K6:K32)</f>
        <v>746.72236147077933</v>
      </c>
      <c r="L33" s="41">
        <f>SUM(L6:L32)</f>
        <v>-931.94249999999988</v>
      </c>
      <c r="M33" s="41">
        <f>SUM(M6:M32)</f>
        <v>9766.8117171750891</v>
      </c>
      <c r="N33" s="41">
        <f>SUM(N6:N32)</f>
        <v>209.60445175089274</v>
      </c>
      <c r="O33" s="41">
        <f>SUM(O6:O32)</f>
        <v>1014.5743839884121</v>
      </c>
      <c r="P33" s="41">
        <f>SUM(P6:P32)</f>
        <v>1411.7379343743369</v>
      </c>
      <c r="Q33" s="41">
        <f>SUM(Q6:Q32)</f>
        <v>232.95677130364555</v>
      </c>
      <c r="R33" s="41">
        <f>SUM(R6:R32)</f>
        <v>2350.4256591390636</v>
      </c>
      <c r="S33" s="41">
        <f>SUM(S6:S32)</f>
        <v>40841.362738905482</v>
      </c>
      <c r="T33" s="41">
        <f>SUM(T6:T32)</f>
        <v>34.35</v>
      </c>
      <c r="U33" s="41">
        <f>SUM(U6:U32)</f>
        <v>-70.387500000000003</v>
      </c>
      <c r="V33" s="41">
        <f>SUM(V6:V32)</f>
        <v>652.75727418000008</v>
      </c>
      <c r="W33" s="41">
        <f>SUM(W6:W32)</f>
        <v>9474.0149999999994</v>
      </c>
      <c r="X33" s="41">
        <f>SUM(X6:X32)</f>
        <v>0</v>
      </c>
      <c r="Y33" s="41">
        <f>SUM(Y6:Y32)</f>
        <v>0</v>
      </c>
      <c r="Z33" s="41">
        <f>SUM(Z6:Z32)</f>
        <v>0</v>
      </c>
      <c r="AA33" s="49"/>
      <c r="AB33" s="49"/>
    </row>
    <row r="34" spans="1:28" x14ac:dyDescent="0.3">
      <c r="B34" s="27"/>
      <c r="C34" s="27"/>
      <c r="D34" s="28" t="str">
        <f>IF(D33=_xlfn.XLOOKUP(D$3,'Fund Management'!$A:$A,'Fund Management'!$F:$F),"OK","NOK")</f>
        <v>OK</v>
      </c>
      <c r="E34" s="28" t="str">
        <f>IF(E33=_xlfn.XLOOKUP(E$3,'Fund Management'!$A:$A,'Fund Management'!$F:$F),"OK","NOK")</f>
        <v>OK</v>
      </c>
      <c r="F34" s="28" t="str">
        <f>IF(F33=_xlfn.XLOOKUP(F$3,'Fund Management'!$A:$A,'Fund Management'!$F:$F),"OK","NOK")</f>
        <v>OK</v>
      </c>
      <c r="G34" s="28" t="str">
        <f>IF(G33=_xlfn.XLOOKUP(G$3,'Fund Management'!$A:$A,'Fund Management'!$F:$F),"OK","NOK")</f>
        <v>NOK</v>
      </c>
      <c r="H34" s="28" t="str">
        <f>IF(H33=_xlfn.XLOOKUP(H$3,'Fund Management'!$A:$A,'Fund Management'!$F:$F),"OK","NOK")</f>
        <v>OK</v>
      </c>
      <c r="I34" s="28" t="str">
        <f>IF(I33=_xlfn.XLOOKUP(I$3,'Fund Management'!$A:$A,'Fund Management'!$F:$F),"OK","NOK")</f>
        <v>OK</v>
      </c>
      <c r="J34" s="28" t="str">
        <f>IF(J33=_xlfn.XLOOKUP(J$3,'Fund Management'!$A:$A,'Fund Management'!$F:$F),"OK","NOK")</f>
        <v>OK</v>
      </c>
      <c r="K34" s="28" t="str">
        <f>IF(K33=_xlfn.XLOOKUP(K$3,'Fund Management'!$A:$A,'Fund Management'!$F:$F),"OK","NOK")</f>
        <v>OK</v>
      </c>
      <c r="L34" s="28" t="str">
        <f>IF(L33=_xlfn.XLOOKUP(L$3,'Fund Management'!$A:$A,'Fund Management'!$F:$F),"OK","NOK")</f>
        <v>OK</v>
      </c>
      <c r="M34" s="28" t="str">
        <f>IF(M33=_xlfn.XLOOKUP(M$3,'Fund Management'!$A:$A,'Fund Management'!$F:$F),"OK","NOK")</f>
        <v>OK</v>
      </c>
      <c r="N34" s="28" t="str">
        <f>IF(N33=_xlfn.XLOOKUP(N$3,'Fund Management'!$A:$A,'Fund Management'!$F:$F),"OK","NOK")</f>
        <v>OK</v>
      </c>
      <c r="O34" s="28" t="str">
        <f>IF(O33=_xlfn.XLOOKUP(O$3,'Fund Management'!$A:$A,'Fund Management'!$F:$F),"OK","NOK")</f>
        <v>OK</v>
      </c>
      <c r="P34" s="28" t="str">
        <f>IF(P33=_xlfn.XLOOKUP(P$3,'Fund Management'!$A:$A,'Fund Management'!$F:$F),"OK","NOK")</f>
        <v>OK</v>
      </c>
      <c r="Q34" s="28" t="str">
        <f>IF(Q33=_xlfn.XLOOKUP(Q$3,'Fund Management'!$A:$A,'Fund Management'!$F:$F),"OK","NOK")</f>
        <v>OK</v>
      </c>
      <c r="R34" s="28" t="str">
        <f>IF(R33=_xlfn.XLOOKUP(R$3,'Fund Management'!$A:$A,'Fund Management'!$F:$F),"OK","NOK")</f>
        <v>OK</v>
      </c>
      <c r="S34" s="28" t="str">
        <f>IF(S33=_xlfn.XLOOKUP(S$3,'Fund Management'!$A:$A,'Fund Management'!$F:$F),"OK","NOK")</f>
        <v>OK</v>
      </c>
      <c r="T34" s="28" t="str">
        <f>IF(T33=_xlfn.XLOOKUP(T$3,'Fund Management'!$A:$A,'Fund Management'!$F:$F),"OK","NOK")</f>
        <v>OK</v>
      </c>
      <c r="U34" s="28" t="str">
        <f>IF(U33=_xlfn.XLOOKUP(U$3,'Fund Management'!$A:$A,'Fund Management'!$F:$F),"OK","NOK")</f>
        <v>OK</v>
      </c>
      <c r="V34" s="28" t="str">
        <f>IF(V33=_xlfn.XLOOKUP(V$3,'Fund Management'!$A:$A,'Fund Management'!$F:$F),"OK","NOK")</f>
        <v>OK</v>
      </c>
      <c r="W34" s="28" t="str">
        <f>IF(W33=_xlfn.XLOOKUP(W$3,'Fund Management'!$A:$A,'Fund Management'!$F:$F),"OK","NOK")</f>
        <v>OK</v>
      </c>
      <c r="X34" s="28" t="str">
        <f>IF(X33=_xlfn.XLOOKUP(X$3,'Fund Management'!$A:$A,'Fund Management'!$F:$F),"OK","NOK")</f>
        <v>OK</v>
      </c>
      <c r="Y34" s="28" t="str">
        <f>IF(Y33=_xlfn.XLOOKUP(Y$3,'Fund Management'!$A:$A,'Fund Management'!$F:$F),"OK","NOK")</f>
        <v>OK</v>
      </c>
      <c r="Z34" s="28" t="str">
        <f>IF(Z33=_xlfn.XLOOKUP(Z$3,'Fund Management'!$A:$A,'Fund Management'!$F:$F),"OK","NOK")</f>
        <v>OK</v>
      </c>
      <c r="AA34" s="29" t="e">
        <f>IF(AA33=_xlfn.XLOOKUP(AA$3,'Fund Management'!$A:$A,'Fund Management'!$F:$F),"OK","NOK")</f>
        <v>#N/A</v>
      </c>
      <c r="AB34" s="29" t="e">
        <f>IF(AB33=_xlfn.XLOOKUP(AB$3,'Fund Management'!$A:$A,'Fund Management'!$F:$F),"OK","NOK")</f>
        <v>#N/A</v>
      </c>
    </row>
    <row r="35" spans="1:28" x14ac:dyDescent="0.3">
      <c r="E35" s="30"/>
      <c r="F35" s="30"/>
    </row>
    <row r="36" spans="1:28" x14ac:dyDescent="0.3">
      <c r="A36" s="31" t="s">
        <v>54</v>
      </c>
      <c r="B36" s="21" t="s">
        <v>57</v>
      </c>
      <c r="C36" s="21"/>
    </row>
    <row r="37" spans="1:28" x14ac:dyDescent="0.3">
      <c r="B37" s="23" t="s">
        <v>6</v>
      </c>
      <c r="C37" s="37">
        <f>SUM(D37:XFD37)</f>
        <v>1524.1000000000001</v>
      </c>
      <c r="D37" s="38">
        <v>1199.68</v>
      </c>
      <c r="E37" s="38">
        <v>324.42</v>
      </c>
      <c r="F37" s="38"/>
      <c r="G37" s="38"/>
      <c r="H37" s="38"/>
      <c r="I37" s="38"/>
      <c r="J37" s="38"/>
      <c r="K37" s="38"/>
      <c r="L37" s="38"/>
      <c r="M37" s="38"/>
      <c r="N37" s="38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</row>
    <row r="38" spans="1:28" x14ac:dyDescent="0.3">
      <c r="B38" s="23" t="s">
        <v>7</v>
      </c>
      <c r="C38" s="37">
        <f>SUM(D38:XFD38)</f>
        <v>10198.26</v>
      </c>
      <c r="D38" s="38">
        <v>1090.1199999999999</v>
      </c>
      <c r="E38" s="38">
        <v>108.14</v>
      </c>
      <c r="F38" s="38"/>
      <c r="G38" s="38"/>
      <c r="H38" s="38"/>
      <c r="I38" s="38"/>
      <c r="J38" s="38"/>
      <c r="K38" s="38"/>
      <c r="L38" s="38"/>
      <c r="M38" s="38"/>
      <c r="N38" s="38"/>
      <c r="O38" s="39"/>
      <c r="P38" s="39"/>
      <c r="Q38" s="39"/>
      <c r="R38" s="39"/>
      <c r="S38" s="39"/>
      <c r="T38" s="39"/>
      <c r="U38" s="39">
        <v>9000</v>
      </c>
      <c r="V38" s="39"/>
      <c r="W38" s="39"/>
      <c r="X38" s="39"/>
      <c r="Y38" s="39"/>
      <c r="Z38" s="39"/>
      <c r="AA38" s="39"/>
      <c r="AB38" s="39"/>
    </row>
    <row r="39" spans="1:28" x14ac:dyDescent="0.3">
      <c r="B39" s="23" t="s">
        <v>18</v>
      </c>
      <c r="C39" s="37">
        <f>SUM(D39:XFD39)</f>
        <v>325.84000000000003</v>
      </c>
      <c r="D39" s="38">
        <v>109.56</v>
      </c>
      <c r="E39" s="38">
        <v>216.28</v>
      </c>
      <c r="F39" s="38"/>
      <c r="G39" s="38"/>
      <c r="H39" s="38"/>
      <c r="I39" s="38"/>
      <c r="J39" s="38"/>
      <c r="K39" s="38"/>
      <c r="L39" s="38"/>
      <c r="M39" s="38"/>
      <c r="N39" s="38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</row>
    <row r="40" spans="1:28" x14ac:dyDescent="0.3">
      <c r="B40" s="23" t="s">
        <v>11</v>
      </c>
      <c r="C40" s="37">
        <f>SUM(D40:XFD40)</f>
        <v>217.7</v>
      </c>
      <c r="D40" s="38">
        <v>109.56</v>
      </c>
      <c r="E40" s="38">
        <v>108.14</v>
      </c>
      <c r="F40" s="38"/>
      <c r="G40" s="38"/>
      <c r="H40" s="38"/>
      <c r="I40" s="38"/>
      <c r="J40" s="38"/>
      <c r="K40" s="38"/>
      <c r="L40" s="38"/>
      <c r="M40" s="38"/>
      <c r="N40" s="38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</row>
    <row r="41" spans="1:28" x14ac:dyDescent="0.3">
      <c r="B41" s="23" t="s">
        <v>13</v>
      </c>
      <c r="C41" s="37">
        <f>SUM(D41:XFD41)</f>
        <v>163.63</v>
      </c>
      <c r="D41" s="38">
        <v>109.56</v>
      </c>
      <c r="E41" s="38">
        <v>54.07</v>
      </c>
      <c r="F41" s="38"/>
      <c r="G41" s="38"/>
      <c r="H41" s="38"/>
      <c r="I41" s="38"/>
      <c r="J41" s="38"/>
      <c r="K41" s="38"/>
      <c r="L41" s="38"/>
      <c r="M41" s="38"/>
      <c r="N41" s="38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</row>
    <row r="42" spans="1:28" x14ac:dyDescent="0.3">
      <c r="B42" s="23" t="s">
        <v>21</v>
      </c>
      <c r="C42" s="37">
        <f>SUM(D42:XFD42)</f>
        <v>1189.08</v>
      </c>
      <c r="D42" s="38">
        <v>54.78</v>
      </c>
      <c r="E42" s="38">
        <v>0</v>
      </c>
      <c r="F42" s="38"/>
      <c r="G42" s="38"/>
      <c r="H42" s="38"/>
      <c r="I42" s="38"/>
      <c r="J42" s="38"/>
      <c r="K42" s="38"/>
      <c r="L42" s="38"/>
      <c r="M42" s="38"/>
      <c r="N42" s="38"/>
      <c r="O42" s="39"/>
      <c r="P42" s="39"/>
      <c r="Q42" s="39"/>
      <c r="R42" s="39"/>
      <c r="S42" s="39"/>
      <c r="T42" s="39">
        <v>1134.3</v>
      </c>
      <c r="U42" s="39"/>
      <c r="V42" s="39"/>
      <c r="W42" s="39"/>
      <c r="X42" s="39"/>
      <c r="Y42" s="39"/>
      <c r="Z42" s="39"/>
      <c r="AA42" s="39"/>
      <c r="AB42" s="39"/>
    </row>
    <row r="43" spans="1:28" x14ac:dyDescent="0.3">
      <c r="B43" s="23" t="s">
        <v>15</v>
      </c>
      <c r="C43" s="37">
        <f>SUM(D43:XFD43)</f>
        <v>162.92000000000002</v>
      </c>
      <c r="D43" s="38">
        <v>54.78</v>
      </c>
      <c r="E43" s="38">
        <v>108.14</v>
      </c>
      <c r="F43" s="38"/>
      <c r="G43" s="38"/>
      <c r="H43" s="38"/>
      <c r="I43" s="38"/>
      <c r="J43" s="38"/>
      <c r="K43" s="38"/>
      <c r="L43" s="38"/>
      <c r="M43" s="38"/>
      <c r="N43" s="38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</row>
    <row r="44" spans="1:28" x14ac:dyDescent="0.3">
      <c r="B44" s="23" t="s">
        <v>17</v>
      </c>
      <c r="C44" s="37">
        <f>SUM(D44:XFD44)</f>
        <v>-52.78</v>
      </c>
      <c r="D44" s="38">
        <v>54.78</v>
      </c>
      <c r="E44" s="38">
        <v>0</v>
      </c>
      <c r="F44" s="38"/>
      <c r="G44" s="38"/>
      <c r="H44" s="38"/>
      <c r="I44" s="38"/>
      <c r="J44" s="38"/>
      <c r="K44" s="38"/>
      <c r="L44" s="38"/>
      <c r="M44" s="38"/>
      <c r="N44" s="38"/>
      <c r="O44" s="39"/>
      <c r="P44" s="39"/>
      <c r="Q44" s="39"/>
      <c r="R44" s="39">
        <v>-107.56</v>
      </c>
      <c r="S44" s="39"/>
      <c r="T44" s="39"/>
      <c r="U44" s="39"/>
      <c r="V44" s="39"/>
      <c r="W44" s="39"/>
      <c r="X44" s="39"/>
      <c r="Y44" s="39"/>
      <c r="Z44" s="39"/>
      <c r="AA44" s="39"/>
      <c r="AB44" s="39"/>
    </row>
    <row r="45" spans="1:28" x14ac:dyDescent="0.3">
      <c r="B45" s="23" t="s">
        <v>20</v>
      </c>
      <c r="C45" s="37">
        <f>SUM(D45:XFD45)</f>
        <v>108.85</v>
      </c>
      <c r="D45" s="38">
        <v>54.78</v>
      </c>
      <c r="E45" s="38">
        <v>0</v>
      </c>
      <c r="F45" s="38">
        <v>54.07</v>
      </c>
      <c r="G45" s="38"/>
      <c r="H45" s="38"/>
      <c r="I45" s="38"/>
      <c r="J45" s="38"/>
      <c r="K45" s="38"/>
      <c r="L45" s="38"/>
      <c r="M45" s="38"/>
      <c r="N45" s="38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</row>
    <row r="46" spans="1:28" x14ac:dyDescent="0.3">
      <c r="B46" s="23" t="s">
        <v>9</v>
      </c>
      <c r="C46" s="37">
        <f>SUM(D46:XFD46)</f>
        <v>108.85</v>
      </c>
      <c r="D46" s="38">
        <v>54.78</v>
      </c>
      <c r="E46" s="38">
        <v>54.07</v>
      </c>
      <c r="F46" s="38"/>
      <c r="G46" s="38"/>
      <c r="H46" s="38"/>
      <c r="I46" s="38"/>
      <c r="J46" s="38"/>
      <c r="K46" s="38"/>
      <c r="L46" s="38"/>
      <c r="M46" s="38"/>
      <c r="N46" s="38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</row>
    <row r="47" spans="1:28" x14ac:dyDescent="0.3">
      <c r="B47" s="23" t="s">
        <v>16</v>
      </c>
      <c r="C47" s="37">
        <f>SUM(D47:XFD47)</f>
        <v>595.48</v>
      </c>
      <c r="D47" s="38">
        <v>54.78</v>
      </c>
      <c r="E47" s="38">
        <v>540.70000000000005</v>
      </c>
      <c r="F47" s="38"/>
      <c r="G47" s="38"/>
      <c r="H47" s="38"/>
      <c r="I47" s="38"/>
      <c r="J47" s="38"/>
      <c r="K47" s="38"/>
      <c r="L47" s="38"/>
      <c r="M47" s="38"/>
      <c r="N47" s="38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</row>
    <row r="48" spans="1:28" x14ac:dyDescent="0.3">
      <c r="B48" s="23" t="s">
        <v>19</v>
      </c>
      <c r="C48" s="37">
        <f>SUM(D48:XFD48)</f>
        <v>280.14</v>
      </c>
      <c r="D48" s="38">
        <v>54.78</v>
      </c>
      <c r="E48" s="38">
        <v>54.07</v>
      </c>
      <c r="F48" s="38"/>
      <c r="G48" s="38"/>
      <c r="H48" s="38"/>
      <c r="I48" s="38"/>
      <c r="J48" s="38"/>
      <c r="K48" s="38"/>
      <c r="L48" s="38"/>
      <c r="M48" s="38"/>
      <c r="N48" s="38"/>
      <c r="O48" s="39"/>
      <c r="P48" s="39"/>
      <c r="Q48" s="39"/>
      <c r="R48" s="39"/>
      <c r="S48" s="39"/>
      <c r="T48" s="39"/>
      <c r="U48" s="39">
        <v>171.29</v>
      </c>
      <c r="V48" s="39"/>
      <c r="W48" s="39"/>
      <c r="X48" s="39"/>
      <c r="Y48" s="39"/>
      <c r="Z48" s="39"/>
      <c r="AA48" s="39"/>
      <c r="AB48" s="39"/>
    </row>
    <row r="49" spans="2:28" x14ac:dyDescent="0.3">
      <c r="B49" s="25" t="s">
        <v>24</v>
      </c>
      <c r="C49" s="37">
        <f>SUM(D49:XFD49)</f>
        <v>54.07</v>
      </c>
      <c r="D49" s="38">
        <v>0</v>
      </c>
      <c r="E49" s="38">
        <v>54.07</v>
      </c>
      <c r="F49" s="38"/>
      <c r="G49" s="38"/>
      <c r="H49" s="38"/>
      <c r="I49" s="38"/>
      <c r="J49" s="38"/>
      <c r="K49" s="38"/>
      <c r="L49" s="38"/>
      <c r="M49" s="38"/>
      <c r="N49" s="38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</row>
    <row r="50" spans="2:28" x14ac:dyDescent="0.3">
      <c r="B50" s="25" t="s">
        <v>22</v>
      </c>
      <c r="C50" s="37">
        <f>SUM(D50:XFD50)</f>
        <v>-75.740000000000009</v>
      </c>
      <c r="D50" s="38">
        <v>0</v>
      </c>
      <c r="E50" s="38">
        <v>324.42</v>
      </c>
      <c r="F50" s="38"/>
      <c r="G50" s="38"/>
      <c r="H50" s="38"/>
      <c r="I50" s="38"/>
      <c r="J50" s="38"/>
      <c r="K50" s="38"/>
      <c r="L50" s="38"/>
      <c r="M50" s="38"/>
      <c r="N50" s="38"/>
      <c r="O50" s="39"/>
      <c r="P50" s="39">
        <v>-400.16</v>
      </c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</row>
    <row r="51" spans="2:28" x14ac:dyDescent="0.3">
      <c r="B51" s="25" t="s">
        <v>23</v>
      </c>
      <c r="C51" s="37">
        <f>SUM(D51:XFD51)</f>
        <v>-1120.75</v>
      </c>
      <c r="D51" s="38">
        <v>0</v>
      </c>
      <c r="E51" s="38">
        <v>540.70000000000005</v>
      </c>
      <c r="F51" s="38"/>
      <c r="G51" s="38"/>
      <c r="H51" s="38"/>
      <c r="I51" s="38"/>
      <c r="J51" s="38"/>
      <c r="K51" s="38"/>
      <c r="L51" s="38"/>
      <c r="M51" s="38"/>
      <c r="N51" s="38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>
        <v>-1661.45</v>
      </c>
      <c r="Z51" s="39"/>
      <c r="AA51" s="39"/>
      <c r="AB51" s="39"/>
    </row>
    <row r="52" spans="2:28" x14ac:dyDescent="0.3">
      <c r="B52" s="25" t="s">
        <v>25</v>
      </c>
      <c r="C52" s="37">
        <f>SUM(D52:XFD52)</f>
        <v>248.72</v>
      </c>
      <c r="D52" s="38">
        <v>0</v>
      </c>
      <c r="E52" s="38">
        <v>248.72</v>
      </c>
      <c r="F52" s="38"/>
      <c r="G52" s="38"/>
      <c r="H52" s="38"/>
      <c r="I52" s="38"/>
      <c r="J52" s="38"/>
      <c r="K52" s="38"/>
      <c r="L52" s="38"/>
      <c r="M52" s="38"/>
      <c r="N52" s="38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</row>
    <row r="53" spans="2:28" x14ac:dyDescent="0.3">
      <c r="B53" s="25" t="s">
        <v>26</v>
      </c>
      <c r="C53" s="37">
        <f>SUM(D53:XFD53)</f>
        <v>162.21</v>
      </c>
      <c r="D53" s="38">
        <v>0</v>
      </c>
      <c r="E53" s="38">
        <v>162.21</v>
      </c>
      <c r="F53" s="38"/>
      <c r="G53" s="38"/>
      <c r="H53" s="38"/>
      <c r="I53" s="38"/>
      <c r="J53" s="38"/>
      <c r="K53" s="38"/>
      <c r="L53" s="38"/>
      <c r="M53" s="38"/>
      <c r="N53" s="38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 spans="2:28" x14ac:dyDescent="0.3">
      <c r="B54" s="25" t="s">
        <v>27</v>
      </c>
      <c r="C54" s="37">
        <f>SUM(D54:XFD54)</f>
        <v>216.28</v>
      </c>
      <c r="D54" s="38">
        <v>0</v>
      </c>
      <c r="E54" s="38">
        <v>216.28</v>
      </c>
      <c r="F54" s="38"/>
      <c r="G54" s="38"/>
      <c r="H54" s="38"/>
      <c r="I54" s="38"/>
      <c r="J54" s="38"/>
      <c r="K54" s="38"/>
      <c r="L54" s="38"/>
      <c r="M54" s="38"/>
      <c r="N54" s="38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 spans="2:28" x14ac:dyDescent="0.3">
      <c r="B55" s="25" t="s">
        <v>28</v>
      </c>
      <c r="C55" s="37">
        <f>SUM(D55:XFD55)</f>
        <v>216.28</v>
      </c>
      <c r="D55" s="38">
        <v>0</v>
      </c>
      <c r="E55" s="38">
        <v>216.28</v>
      </c>
      <c r="F55" s="38"/>
      <c r="G55" s="38"/>
      <c r="H55" s="38"/>
      <c r="I55" s="38"/>
      <c r="J55" s="38"/>
      <c r="K55" s="38"/>
      <c r="L55" s="38"/>
      <c r="M55" s="38"/>
      <c r="N55" s="38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</row>
    <row r="56" spans="2:28" x14ac:dyDescent="0.3">
      <c r="B56" s="25" t="s">
        <v>29</v>
      </c>
      <c r="C56" s="37">
        <f>SUM(D56:XFD56)</f>
        <v>108.14</v>
      </c>
      <c r="D56" s="38">
        <v>0</v>
      </c>
      <c r="E56" s="38">
        <v>108.14</v>
      </c>
      <c r="F56" s="38"/>
      <c r="G56" s="38"/>
      <c r="H56" s="38"/>
      <c r="I56" s="38"/>
      <c r="J56" s="38"/>
      <c r="K56" s="38"/>
      <c r="L56" s="38"/>
      <c r="M56" s="38"/>
      <c r="N56" s="38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 spans="2:28" x14ac:dyDescent="0.3">
      <c r="B57" s="23" t="s">
        <v>30</v>
      </c>
      <c r="C57" s="37">
        <f>SUM(D57:XFD57)</f>
        <v>2162.6</v>
      </c>
      <c r="D57" s="38"/>
      <c r="E57" s="38"/>
      <c r="F57" s="38">
        <v>2162.6</v>
      </c>
      <c r="G57" s="38"/>
      <c r="H57" s="38"/>
      <c r="I57" s="38"/>
      <c r="J57" s="38"/>
      <c r="K57" s="38"/>
      <c r="L57" s="38"/>
      <c r="M57" s="38"/>
      <c r="N57" s="38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2:28" x14ac:dyDescent="0.3">
      <c r="B58" s="23" t="s">
        <v>31</v>
      </c>
      <c r="C58" s="37">
        <f>SUM(D58:XFD58)</f>
        <v>6987.36</v>
      </c>
      <c r="D58" s="38"/>
      <c r="E58" s="38"/>
      <c r="F58" s="38">
        <v>6987.36</v>
      </c>
      <c r="G58" s="38"/>
      <c r="H58" s="38"/>
      <c r="I58" s="38"/>
      <c r="J58" s="38"/>
      <c r="K58" s="38"/>
      <c r="L58" s="38"/>
      <c r="M58" s="38"/>
      <c r="N58" s="38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2:28" x14ac:dyDescent="0.3">
      <c r="B59" s="23" t="s">
        <v>32</v>
      </c>
      <c r="C59" s="37">
        <f>SUM(D59:XFD59)</f>
        <v>216.26</v>
      </c>
      <c r="D59" s="38"/>
      <c r="E59" s="38"/>
      <c r="F59" s="38">
        <v>216.26</v>
      </c>
      <c r="G59" s="38"/>
      <c r="H59" s="38"/>
      <c r="I59" s="38"/>
      <c r="J59" s="38"/>
      <c r="K59" s="38"/>
      <c r="L59" s="38"/>
      <c r="M59" s="38"/>
      <c r="N59" s="38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spans="2:28" x14ac:dyDescent="0.3">
      <c r="B60" s="23" t="s">
        <v>5</v>
      </c>
      <c r="C60" s="37">
        <f>SUM(D60:XFD60)</f>
        <v>-1162.55</v>
      </c>
      <c r="D60" s="38"/>
      <c r="E60" s="38"/>
      <c r="F60" s="38">
        <v>0</v>
      </c>
      <c r="G60" s="38">
        <v>537.45000000000005</v>
      </c>
      <c r="H60" s="38"/>
      <c r="I60" s="38"/>
      <c r="J60" s="38"/>
      <c r="K60" s="38"/>
      <c r="L60" s="38"/>
      <c r="M60" s="38"/>
      <c r="N60" s="38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>
        <v>-1700</v>
      </c>
      <c r="AA60" s="39"/>
      <c r="AB60" s="39"/>
    </row>
    <row r="61" spans="2:28" x14ac:dyDescent="0.3">
      <c r="B61" s="23" t="s">
        <v>33</v>
      </c>
      <c r="C61" s="37">
        <f>SUM(D61:XFD61)</f>
        <v>1626.3</v>
      </c>
      <c r="D61" s="38"/>
      <c r="E61" s="38"/>
      <c r="F61" s="38"/>
      <c r="G61" s="38"/>
      <c r="H61" s="38"/>
      <c r="I61" s="38">
        <v>1626.3</v>
      </c>
      <c r="J61" s="38"/>
      <c r="K61" s="38"/>
      <c r="L61" s="38"/>
      <c r="M61" s="38"/>
      <c r="N61" s="38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</row>
    <row r="62" spans="2:28" x14ac:dyDescent="0.3">
      <c r="B62" s="23" t="s">
        <v>34</v>
      </c>
      <c r="C62" s="37">
        <f>SUM(D62:XFD62)</f>
        <v>1400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9"/>
      <c r="P62" s="39"/>
      <c r="Q62" s="39">
        <v>700</v>
      </c>
      <c r="R62" s="39">
        <v>700</v>
      </c>
      <c r="S62" s="39"/>
      <c r="T62" s="39"/>
      <c r="U62" s="39"/>
      <c r="V62" s="39"/>
      <c r="W62" s="39"/>
      <c r="X62" s="39"/>
      <c r="Y62" s="39"/>
      <c r="Z62" s="39"/>
      <c r="AA62" s="39"/>
      <c r="AB62" s="39"/>
    </row>
    <row r="63" spans="2:28" x14ac:dyDescent="0.3">
      <c r="B63" s="23"/>
      <c r="C63" s="37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</row>
    <row r="64" spans="2:28" ht="15.75" customHeight="1" thickBot="1" x14ac:dyDescent="0.35">
      <c r="B64" s="26" t="s">
        <v>56</v>
      </c>
      <c r="C64" s="40">
        <f>SUM(C37:C62)</f>
        <v>25861.249999999996</v>
      </c>
      <c r="D64" s="41">
        <f>SUM(D37:D62)</f>
        <v>3001.9400000000014</v>
      </c>
      <c r="E64" s="41">
        <f t="shared" ref="E64:AB64" si="1">SUM(E37:E62)</f>
        <v>3438.8500000000004</v>
      </c>
      <c r="F64" s="41">
        <f t="shared" si="1"/>
        <v>9420.2899999999991</v>
      </c>
      <c r="G64" s="41">
        <f t="shared" si="1"/>
        <v>537.45000000000005</v>
      </c>
      <c r="H64" s="41">
        <f t="shared" si="1"/>
        <v>0</v>
      </c>
      <c r="I64" s="41">
        <f t="shared" si="1"/>
        <v>1626.3</v>
      </c>
      <c r="J64" s="41">
        <f t="shared" si="1"/>
        <v>0</v>
      </c>
      <c r="K64" s="41">
        <f t="shared" si="1"/>
        <v>0</v>
      </c>
      <c r="L64" s="41">
        <f t="shared" si="1"/>
        <v>0</v>
      </c>
      <c r="M64" s="41">
        <f t="shared" si="1"/>
        <v>0</v>
      </c>
      <c r="N64" s="41">
        <f t="shared" si="1"/>
        <v>0</v>
      </c>
      <c r="O64" s="41">
        <f t="shared" si="1"/>
        <v>0</v>
      </c>
      <c r="P64" s="41">
        <f t="shared" si="1"/>
        <v>-400.16</v>
      </c>
      <c r="Q64" s="41">
        <f t="shared" si="1"/>
        <v>700</v>
      </c>
      <c r="R64" s="41">
        <f t="shared" si="1"/>
        <v>592.44000000000005</v>
      </c>
      <c r="S64" s="41">
        <f t="shared" si="1"/>
        <v>0</v>
      </c>
      <c r="T64" s="41">
        <f t="shared" si="1"/>
        <v>1134.3</v>
      </c>
      <c r="U64" s="41">
        <f t="shared" si="1"/>
        <v>9171.2900000000009</v>
      </c>
      <c r="V64" s="41">
        <f t="shared" si="1"/>
        <v>0</v>
      </c>
      <c r="W64" s="41">
        <f t="shared" si="1"/>
        <v>0</v>
      </c>
      <c r="X64" s="41">
        <f t="shared" si="1"/>
        <v>0</v>
      </c>
      <c r="Y64" s="41">
        <f t="shared" si="1"/>
        <v>-1661.45</v>
      </c>
      <c r="Z64" s="41">
        <f t="shared" si="1"/>
        <v>-1700</v>
      </c>
      <c r="AA64" s="41">
        <f t="shared" si="1"/>
        <v>0</v>
      </c>
      <c r="AB64" s="41">
        <f t="shared" si="1"/>
        <v>0</v>
      </c>
    </row>
    <row r="66" spans="1:28" x14ac:dyDescent="0.3">
      <c r="A66" s="22" t="s">
        <v>54</v>
      </c>
      <c r="B66" s="21" t="s">
        <v>58</v>
      </c>
      <c r="C66" s="21"/>
      <c r="E66" s="30"/>
    </row>
    <row r="67" spans="1:28" x14ac:dyDescent="0.3">
      <c r="B67" s="23" t="s">
        <v>6</v>
      </c>
      <c r="C67" s="51" cm="1">
        <f t="array" ref="C67">LOOKUP(2,1/(D67:XFD67&lt;&gt;""),D67:XFD67)</f>
        <v>14.868594671326186</v>
      </c>
      <c r="D67" s="33">
        <f>D37/_xlfn.XLOOKUP(D$3,'Fund Management'!$A:$A,'Fund Management'!$E:$E)</f>
        <v>11.9968</v>
      </c>
      <c r="E67" s="33">
        <f>D67+(E37/_xlfn.XLOOKUP(E$3,'Fund Management'!$A:$A,'Fund Management'!$E:$E))</f>
        <v>14.868594671326186</v>
      </c>
      <c r="F67" s="33">
        <f>E67+(F37/_xlfn.XLOOKUP(F$3,'Fund Management'!$A:$A,'Fund Management'!$E:$E))</f>
        <v>14.868594671326186</v>
      </c>
      <c r="G67" s="33">
        <f>F67+(G37/_xlfn.XLOOKUP(G$3,'Fund Management'!$A:$A,'Fund Management'!$E:$E))</f>
        <v>14.868594671326186</v>
      </c>
      <c r="H67" s="33">
        <f>G67+(H37/_xlfn.XLOOKUP(H$3,'Fund Management'!$A:$A,'Fund Management'!$E:$E))</f>
        <v>14.868594671326186</v>
      </c>
      <c r="I67" s="33">
        <f>H67+(I37/_xlfn.XLOOKUP(I$3,'Fund Management'!$A:$A,'Fund Management'!$E:$E))</f>
        <v>14.868594671326186</v>
      </c>
      <c r="J67" s="33">
        <f>I67+(J37/_xlfn.XLOOKUP(J$3,'Fund Management'!$A:$A,'Fund Management'!$E:$E))</f>
        <v>14.868594671326186</v>
      </c>
      <c r="K67" s="33">
        <f>J67+(K37/_xlfn.XLOOKUP(K$3,'Fund Management'!$A:$A,'Fund Management'!$E:$E))</f>
        <v>14.868594671326186</v>
      </c>
      <c r="L67" s="33">
        <f>K67+(L37/_xlfn.XLOOKUP(L$3,'Fund Management'!$A:$A,'Fund Management'!$E:$E))</f>
        <v>14.868594671326186</v>
      </c>
      <c r="M67" s="33">
        <f>L67+(M37/_xlfn.XLOOKUP(M$3,'Fund Management'!$A:$A,'Fund Management'!$E:$E))</f>
        <v>14.868594671326186</v>
      </c>
      <c r="N67" s="33">
        <f>M67+(N37/_xlfn.XLOOKUP(N$3,'Fund Management'!$A:$A,'Fund Management'!$E:$E))</f>
        <v>14.868594671326186</v>
      </c>
      <c r="O67" s="33">
        <f>N67+(O37/_xlfn.XLOOKUP(O$3,'Fund Management'!$A:$A,'Fund Management'!$E:$E))</f>
        <v>14.868594671326186</v>
      </c>
      <c r="P67" s="33">
        <f>O67+(P37/_xlfn.XLOOKUP(P$3,'Fund Management'!$A:$A,'Fund Management'!$E:$E))</f>
        <v>14.868594671326186</v>
      </c>
      <c r="Q67" s="33">
        <f>P67+(Q37/_xlfn.XLOOKUP(Q$3,'Fund Management'!$A:$A,'Fund Management'!$E:$E))</f>
        <v>14.868594671326186</v>
      </c>
      <c r="R67" s="33">
        <f>Q67+(R37/_xlfn.XLOOKUP(R$3,'Fund Management'!$A:$A,'Fund Management'!$E:$E))</f>
        <v>14.868594671326186</v>
      </c>
      <c r="S67" s="33">
        <f>R67+(S37/_xlfn.XLOOKUP(S$3,'Fund Management'!$A:$A,'Fund Management'!$E:$E))</f>
        <v>14.868594671326186</v>
      </c>
      <c r="T67" s="33">
        <f>S67+(T37/_xlfn.XLOOKUP(T$3,'Fund Management'!$A:$A,'Fund Management'!$E:$E))</f>
        <v>14.868594671326186</v>
      </c>
      <c r="U67" s="33">
        <f>T67+(U37/_xlfn.XLOOKUP(U$3,'Fund Management'!$A:$A,'Fund Management'!$E:$E))</f>
        <v>14.868594671326186</v>
      </c>
      <c r="V67" s="33">
        <f>U67+(V37/_xlfn.XLOOKUP(V$3,'Fund Management'!$A:$A,'Fund Management'!$E:$E))</f>
        <v>14.868594671326186</v>
      </c>
      <c r="W67" s="33">
        <f>V67+(W37/_xlfn.XLOOKUP(W$3,'Fund Management'!$A:$A,'Fund Management'!$E:$E))</f>
        <v>14.868594671326186</v>
      </c>
      <c r="X67" s="33">
        <f>W67+(X37/_xlfn.XLOOKUP(X$3,'Fund Management'!$A:$A,'Fund Management'!$E:$E))</f>
        <v>14.868594671326186</v>
      </c>
      <c r="Y67" s="33">
        <f>X67+(Y37/_xlfn.XLOOKUP(Y$3,'Fund Management'!$A:$A,'Fund Management'!$E:$E))</f>
        <v>14.868594671326186</v>
      </c>
      <c r="Z67" s="33">
        <f>Y67+(Z37/_xlfn.XLOOKUP(Z$3,'Fund Management'!$A:$A,'Fund Management'!$E:$E))</f>
        <v>14.868594671326186</v>
      </c>
      <c r="AA67" s="33"/>
      <c r="AB67" s="33"/>
    </row>
    <row r="68" spans="1:28" x14ac:dyDescent="0.3">
      <c r="B68" s="23" t="s">
        <v>7</v>
      </c>
      <c r="C68" s="51" cm="1">
        <f t="array" ref="C68">LOOKUP(2,1/(D68:XFD68&lt;&gt;""),D68:XFD68)</f>
        <v>38.869850743242395</v>
      </c>
      <c r="D68" s="33">
        <f>D38/_xlfn.XLOOKUP(D$3,'Fund Management'!A:A,'Fund Management'!E:E)</f>
        <v>10.901199999999999</v>
      </c>
      <c r="E68" s="33">
        <f>D68+(E38/_xlfn.XLOOKUP(E$3,'Fund Management'!$A:$A,'Fund Management'!$E:$E))</f>
        <v>11.858464890442061</v>
      </c>
      <c r="F68" s="33">
        <f>E68+(F38/_xlfn.XLOOKUP(F$3,'Fund Management'!$A:$A,'Fund Management'!$E:$E))</f>
        <v>11.858464890442061</v>
      </c>
      <c r="G68" s="33">
        <f>F68+(G38/_xlfn.XLOOKUP(G$3,'Fund Management'!$A:$A,'Fund Management'!$E:$E))</f>
        <v>11.858464890442061</v>
      </c>
      <c r="H68" s="33">
        <f>G68+(H38/_xlfn.XLOOKUP(H$3,'Fund Management'!$A:$A,'Fund Management'!$E:$E))</f>
        <v>11.858464890442061</v>
      </c>
      <c r="I68" s="33">
        <f>H68+(I38/_xlfn.XLOOKUP(I$3,'Fund Management'!$A:$A,'Fund Management'!$E:$E))</f>
        <v>11.858464890442061</v>
      </c>
      <c r="J68" s="33">
        <f>I68+(J38/_xlfn.XLOOKUP(J$3,'Fund Management'!$A:$A,'Fund Management'!$E:$E))</f>
        <v>11.858464890442061</v>
      </c>
      <c r="K68" s="33">
        <f>J68+(K38/_xlfn.XLOOKUP(K$3,'Fund Management'!$A:$A,'Fund Management'!$E:$E))</f>
        <v>11.858464890442061</v>
      </c>
      <c r="L68" s="33">
        <f>K68+(L38/_xlfn.XLOOKUP(L$3,'Fund Management'!$A:$A,'Fund Management'!$E:$E))</f>
        <v>11.858464890442061</v>
      </c>
      <c r="M68" s="33">
        <f>L68+(M38/_xlfn.XLOOKUP(M$3,'Fund Management'!$A:$A,'Fund Management'!$E:$E))</f>
        <v>11.858464890442061</v>
      </c>
      <c r="N68" s="33">
        <f>M68+(N38/_xlfn.XLOOKUP(N$3,'Fund Management'!$A:$A,'Fund Management'!$E:$E))</f>
        <v>11.858464890442061</v>
      </c>
      <c r="O68" s="33">
        <f>N68+(O38/_xlfn.XLOOKUP(O$3,'Fund Management'!$A:$A,'Fund Management'!$E:$E))</f>
        <v>11.858464890442061</v>
      </c>
      <c r="P68" s="33">
        <f>O68+(P38/_xlfn.XLOOKUP(P$3,'Fund Management'!$A:$A,'Fund Management'!$E:$E))</f>
        <v>11.858464890442061</v>
      </c>
      <c r="Q68" s="33">
        <f>P68+(Q38/_xlfn.XLOOKUP(Q$3,'Fund Management'!$A:$A,'Fund Management'!$E:$E))</f>
        <v>11.858464890442061</v>
      </c>
      <c r="R68" s="33">
        <f>Q68+(R38/_xlfn.XLOOKUP(R$3,'Fund Management'!$A:$A,'Fund Management'!$E:$E))</f>
        <v>11.858464890442061</v>
      </c>
      <c r="S68" s="33">
        <f>R68+(S38/_xlfn.XLOOKUP(S$3,'Fund Management'!$A:$A,'Fund Management'!$E:$E))</f>
        <v>11.858464890442061</v>
      </c>
      <c r="T68" s="33">
        <f>S68+(T38/_xlfn.XLOOKUP(T$3,'Fund Management'!$A:$A,'Fund Management'!$E:$E))</f>
        <v>11.858464890442061</v>
      </c>
      <c r="U68" s="33">
        <f>T68+(U38/_xlfn.XLOOKUP(U$3,'Fund Management'!$A:$A,'Fund Management'!$E:$E))</f>
        <v>38.869850743242395</v>
      </c>
      <c r="V68" s="33">
        <f>U68+(V38/_xlfn.XLOOKUP(V$3,'Fund Management'!$A:$A,'Fund Management'!$E:$E))</f>
        <v>38.869850743242395</v>
      </c>
      <c r="W68" s="33">
        <f>V68+(W38/_xlfn.XLOOKUP(W$3,'Fund Management'!$A:$A,'Fund Management'!$E:$E))</f>
        <v>38.869850743242395</v>
      </c>
      <c r="X68" s="33">
        <f>W68+(X38/_xlfn.XLOOKUP(X$3,'Fund Management'!$A:$A,'Fund Management'!$E:$E))</f>
        <v>38.869850743242395</v>
      </c>
      <c r="Y68" s="33">
        <f>X68+(Y38/_xlfn.XLOOKUP(Y$3,'Fund Management'!$A:$A,'Fund Management'!$E:$E))</f>
        <v>38.869850743242395</v>
      </c>
      <c r="Z68" s="33">
        <f>Y68+(Z38/_xlfn.XLOOKUP(Z$3,'Fund Management'!$A:$A,'Fund Management'!$E:$E))</f>
        <v>38.869850743242395</v>
      </c>
      <c r="AA68" s="33"/>
      <c r="AB68" s="33"/>
    </row>
    <row r="69" spans="1:28" x14ac:dyDescent="0.3">
      <c r="B69" s="23" t="s">
        <v>18</v>
      </c>
      <c r="C69" s="51" cm="1">
        <f t="array" ref="C69">LOOKUP(2,1/(D69:XFD69&lt;&gt;""),D69:XFD69)</f>
        <v>3.0101297808841236</v>
      </c>
      <c r="D69" s="33">
        <f>D39/_xlfn.XLOOKUP(D$3,'Fund Management'!A:A,'Fund Management'!E:E)</f>
        <v>1.0956000000000001</v>
      </c>
      <c r="E69" s="33">
        <f>D69+(E39/_xlfn.XLOOKUP(E$3,'Fund Management'!$A:$A,'Fund Management'!$E:$E))</f>
        <v>3.0101297808841236</v>
      </c>
      <c r="F69" s="33">
        <f>E69+(F39/_xlfn.XLOOKUP(F$3,'Fund Management'!$A:$A,'Fund Management'!$E:$E))</f>
        <v>3.0101297808841236</v>
      </c>
      <c r="G69" s="33">
        <f>F69+(G39/_xlfn.XLOOKUP(G$3,'Fund Management'!$A:$A,'Fund Management'!$E:$E))</f>
        <v>3.0101297808841236</v>
      </c>
      <c r="H69" s="33">
        <f>G69+(H39/_xlfn.XLOOKUP(H$3,'Fund Management'!$A:$A,'Fund Management'!$E:$E))</f>
        <v>3.0101297808841236</v>
      </c>
      <c r="I69" s="33">
        <f>H69+(I39/_xlfn.XLOOKUP(I$3,'Fund Management'!$A:$A,'Fund Management'!$E:$E))</f>
        <v>3.0101297808841236</v>
      </c>
      <c r="J69" s="33">
        <f>I69+(J39/_xlfn.XLOOKUP(J$3,'Fund Management'!$A:$A,'Fund Management'!$E:$E))</f>
        <v>3.0101297808841236</v>
      </c>
      <c r="K69" s="33">
        <f>J69+(K39/_xlfn.XLOOKUP(K$3,'Fund Management'!$A:$A,'Fund Management'!$E:$E))</f>
        <v>3.0101297808841236</v>
      </c>
      <c r="L69" s="33">
        <f>K69+(L39/_xlfn.XLOOKUP(L$3,'Fund Management'!$A:$A,'Fund Management'!$E:$E))</f>
        <v>3.0101297808841236</v>
      </c>
      <c r="M69" s="33">
        <f>L69+(M39/_xlfn.XLOOKUP(M$3,'Fund Management'!$A:$A,'Fund Management'!$E:$E))</f>
        <v>3.0101297808841236</v>
      </c>
      <c r="N69" s="33">
        <f>M69+(N39/_xlfn.XLOOKUP(N$3,'Fund Management'!$A:$A,'Fund Management'!$E:$E))</f>
        <v>3.0101297808841236</v>
      </c>
      <c r="O69" s="33">
        <f>N69+(O39/_xlfn.XLOOKUP(O$3,'Fund Management'!$A:$A,'Fund Management'!$E:$E))</f>
        <v>3.0101297808841236</v>
      </c>
      <c r="P69" s="33">
        <f>O69+(P39/_xlfn.XLOOKUP(P$3,'Fund Management'!$A:$A,'Fund Management'!$E:$E))</f>
        <v>3.0101297808841236</v>
      </c>
      <c r="Q69" s="33">
        <f>P69+(Q39/_xlfn.XLOOKUP(Q$3,'Fund Management'!$A:$A,'Fund Management'!$E:$E))</f>
        <v>3.0101297808841236</v>
      </c>
      <c r="R69" s="33">
        <f>Q69+(R39/_xlfn.XLOOKUP(R$3,'Fund Management'!$A:$A,'Fund Management'!$E:$E))</f>
        <v>3.0101297808841236</v>
      </c>
      <c r="S69" s="33">
        <f>R69+(S39/_xlfn.XLOOKUP(S$3,'Fund Management'!$A:$A,'Fund Management'!$E:$E))</f>
        <v>3.0101297808841236</v>
      </c>
      <c r="T69" s="33">
        <f>S69+(T39/_xlfn.XLOOKUP(T$3,'Fund Management'!$A:$A,'Fund Management'!$E:$E))</f>
        <v>3.0101297808841236</v>
      </c>
      <c r="U69" s="33">
        <f>T69+(U39/_xlfn.XLOOKUP(U$3,'Fund Management'!$A:$A,'Fund Management'!$E:$E))</f>
        <v>3.0101297808841236</v>
      </c>
      <c r="V69" s="33">
        <f>U69+(V39/_xlfn.XLOOKUP(V$3,'Fund Management'!$A:$A,'Fund Management'!$E:$E))</f>
        <v>3.0101297808841236</v>
      </c>
      <c r="W69" s="33">
        <f>V69+(W39/_xlfn.XLOOKUP(W$3,'Fund Management'!$A:$A,'Fund Management'!$E:$E))</f>
        <v>3.0101297808841236</v>
      </c>
      <c r="X69" s="33">
        <f>W69+(X39/_xlfn.XLOOKUP(X$3,'Fund Management'!$A:$A,'Fund Management'!$E:$E))</f>
        <v>3.0101297808841236</v>
      </c>
      <c r="Y69" s="33">
        <f>X69+(Y39/_xlfn.XLOOKUP(Y$3,'Fund Management'!$A:$A,'Fund Management'!$E:$E))</f>
        <v>3.0101297808841236</v>
      </c>
      <c r="Z69" s="33">
        <f>Y69+(Z39/_xlfn.XLOOKUP(Z$3,'Fund Management'!$A:$A,'Fund Management'!$E:$E))</f>
        <v>3.0101297808841236</v>
      </c>
      <c r="AA69" s="33"/>
      <c r="AB69" s="33"/>
    </row>
    <row r="70" spans="1:28" x14ac:dyDescent="0.3">
      <c r="B70" s="23" t="s">
        <v>11</v>
      </c>
      <c r="C70" s="51" cm="1">
        <f t="array" ref="C70">LOOKUP(2,1/(D70:XFD70&lt;&gt;""),D70:XFD70)</f>
        <v>2.0528648904420619</v>
      </c>
      <c r="D70" s="33">
        <f>D40/_xlfn.XLOOKUP(D$3,'Fund Management'!A:A,'Fund Management'!E:E)</f>
        <v>1.0956000000000001</v>
      </c>
      <c r="E70" s="33">
        <f>D70+(E40/_xlfn.XLOOKUP(E$3,'Fund Management'!$A:$A,'Fund Management'!$E:$E))</f>
        <v>2.0528648904420619</v>
      </c>
      <c r="F70" s="33">
        <f>E70+(F40/_xlfn.XLOOKUP(F$3,'Fund Management'!$A:$A,'Fund Management'!$E:$E))</f>
        <v>2.0528648904420619</v>
      </c>
      <c r="G70" s="33">
        <f>F70+(G40/_xlfn.XLOOKUP(G$3,'Fund Management'!$A:$A,'Fund Management'!$E:$E))</f>
        <v>2.0528648904420619</v>
      </c>
      <c r="H70" s="33">
        <f>G70+(H40/_xlfn.XLOOKUP(H$3,'Fund Management'!$A:$A,'Fund Management'!$E:$E))</f>
        <v>2.0528648904420619</v>
      </c>
      <c r="I70" s="33">
        <f>H70+(I40/_xlfn.XLOOKUP(I$3,'Fund Management'!$A:$A,'Fund Management'!$E:$E))</f>
        <v>2.0528648904420619</v>
      </c>
      <c r="J70" s="33">
        <f>I70+(J40/_xlfn.XLOOKUP(J$3,'Fund Management'!$A:$A,'Fund Management'!$E:$E))</f>
        <v>2.0528648904420619</v>
      </c>
      <c r="K70" s="33">
        <f>J70+(K40/_xlfn.XLOOKUP(K$3,'Fund Management'!$A:$A,'Fund Management'!$E:$E))</f>
        <v>2.0528648904420619</v>
      </c>
      <c r="L70" s="33">
        <f>K70+(L40/_xlfn.XLOOKUP(L$3,'Fund Management'!$A:$A,'Fund Management'!$E:$E))</f>
        <v>2.0528648904420619</v>
      </c>
      <c r="M70" s="33">
        <f>L70+(M40/_xlfn.XLOOKUP(M$3,'Fund Management'!$A:$A,'Fund Management'!$E:$E))</f>
        <v>2.0528648904420619</v>
      </c>
      <c r="N70" s="33">
        <f>M70+(N40/_xlfn.XLOOKUP(N$3,'Fund Management'!$A:$A,'Fund Management'!$E:$E))</f>
        <v>2.0528648904420619</v>
      </c>
      <c r="O70" s="33">
        <f>N70+(O40/_xlfn.XLOOKUP(O$3,'Fund Management'!$A:$A,'Fund Management'!$E:$E))</f>
        <v>2.0528648904420619</v>
      </c>
      <c r="P70" s="33">
        <f>O70+(P40/_xlfn.XLOOKUP(P$3,'Fund Management'!$A:$A,'Fund Management'!$E:$E))</f>
        <v>2.0528648904420619</v>
      </c>
      <c r="Q70" s="33">
        <f>P70+(Q40/_xlfn.XLOOKUP(Q$3,'Fund Management'!$A:$A,'Fund Management'!$E:$E))</f>
        <v>2.0528648904420619</v>
      </c>
      <c r="R70" s="33">
        <f>Q70+(R40/_xlfn.XLOOKUP(R$3,'Fund Management'!$A:$A,'Fund Management'!$E:$E))</f>
        <v>2.0528648904420619</v>
      </c>
      <c r="S70" s="33">
        <f>R70+(S40/_xlfn.XLOOKUP(S$3,'Fund Management'!$A:$A,'Fund Management'!$E:$E))</f>
        <v>2.0528648904420619</v>
      </c>
      <c r="T70" s="33">
        <f>S70+(T40/_xlfn.XLOOKUP(T$3,'Fund Management'!$A:$A,'Fund Management'!$E:$E))</f>
        <v>2.0528648904420619</v>
      </c>
      <c r="U70" s="33">
        <f>T70+(U40/_xlfn.XLOOKUP(U$3,'Fund Management'!$A:$A,'Fund Management'!$E:$E))</f>
        <v>2.0528648904420619</v>
      </c>
      <c r="V70" s="33">
        <f>U70+(V40/_xlfn.XLOOKUP(V$3,'Fund Management'!$A:$A,'Fund Management'!$E:$E))</f>
        <v>2.0528648904420619</v>
      </c>
      <c r="W70" s="33">
        <f>V70+(W40/_xlfn.XLOOKUP(W$3,'Fund Management'!$A:$A,'Fund Management'!$E:$E))</f>
        <v>2.0528648904420619</v>
      </c>
      <c r="X70" s="33">
        <f>W70+(X40/_xlfn.XLOOKUP(X$3,'Fund Management'!$A:$A,'Fund Management'!$E:$E))</f>
        <v>2.0528648904420619</v>
      </c>
      <c r="Y70" s="33">
        <f>X70+(Y40/_xlfn.XLOOKUP(Y$3,'Fund Management'!$A:$A,'Fund Management'!$E:$E))</f>
        <v>2.0528648904420619</v>
      </c>
      <c r="Z70" s="33">
        <f>Y70+(Z40/_xlfn.XLOOKUP(Z$3,'Fund Management'!$A:$A,'Fund Management'!$E:$E))</f>
        <v>2.0528648904420619</v>
      </c>
      <c r="AA70" s="33"/>
      <c r="AB70" s="33"/>
    </row>
    <row r="71" spans="1:28" x14ac:dyDescent="0.3">
      <c r="B71" s="23" t="s">
        <v>13</v>
      </c>
      <c r="C71" s="51" cm="1">
        <f t="array" ref="C71">LOOKUP(2,1/(D71:XFD71&lt;&gt;""),D71:XFD71)</f>
        <v>1.574232445221031</v>
      </c>
      <c r="D71" s="33">
        <f>D41/_xlfn.XLOOKUP(D$3,'Fund Management'!A:A,'Fund Management'!E:E)</f>
        <v>1.0956000000000001</v>
      </c>
      <c r="E71" s="33">
        <f>D71+(E41/_xlfn.XLOOKUP(E$3,'Fund Management'!$A:$A,'Fund Management'!$E:$E))</f>
        <v>1.574232445221031</v>
      </c>
      <c r="F71" s="33">
        <f>E71+(F41/_xlfn.XLOOKUP(F$3,'Fund Management'!$A:$A,'Fund Management'!$E:$E))</f>
        <v>1.574232445221031</v>
      </c>
      <c r="G71" s="33">
        <f>F71+(G41/_xlfn.XLOOKUP(G$3,'Fund Management'!$A:$A,'Fund Management'!$E:$E))</f>
        <v>1.574232445221031</v>
      </c>
      <c r="H71" s="33">
        <f>G71+(H41/_xlfn.XLOOKUP(H$3,'Fund Management'!$A:$A,'Fund Management'!$E:$E))</f>
        <v>1.574232445221031</v>
      </c>
      <c r="I71" s="33">
        <f>H71+(I41/_xlfn.XLOOKUP(I$3,'Fund Management'!$A:$A,'Fund Management'!$E:$E))</f>
        <v>1.574232445221031</v>
      </c>
      <c r="J71" s="33">
        <f>I71+(J41/_xlfn.XLOOKUP(J$3,'Fund Management'!$A:$A,'Fund Management'!$E:$E))</f>
        <v>1.574232445221031</v>
      </c>
      <c r="K71" s="33">
        <f>J71+(K41/_xlfn.XLOOKUP(K$3,'Fund Management'!$A:$A,'Fund Management'!$E:$E))</f>
        <v>1.574232445221031</v>
      </c>
      <c r="L71" s="33">
        <f>K71+(L41/_xlfn.XLOOKUP(L$3,'Fund Management'!$A:$A,'Fund Management'!$E:$E))</f>
        <v>1.574232445221031</v>
      </c>
      <c r="M71" s="33">
        <f>L71+(M41/_xlfn.XLOOKUP(M$3,'Fund Management'!$A:$A,'Fund Management'!$E:$E))</f>
        <v>1.574232445221031</v>
      </c>
      <c r="N71" s="33">
        <f>M71+(N41/_xlfn.XLOOKUP(N$3,'Fund Management'!$A:$A,'Fund Management'!$E:$E))</f>
        <v>1.574232445221031</v>
      </c>
      <c r="O71" s="33">
        <f>N71+(O41/_xlfn.XLOOKUP(O$3,'Fund Management'!$A:$A,'Fund Management'!$E:$E))</f>
        <v>1.574232445221031</v>
      </c>
      <c r="P71" s="33">
        <f>O71+(P41/_xlfn.XLOOKUP(P$3,'Fund Management'!$A:$A,'Fund Management'!$E:$E))</f>
        <v>1.574232445221031</v>
      </c>
      <c r="Q71" s="33">
        <f>P71+(Q41/_xlfn.XLOOKUP(Q$3,'Fund Management'!$A:$A,'Fund Management'!$E:$E))</f>
        <v>1.574232445221031</v>
      </c>
      <c r="R71" s="33">
        <f>Q71+(R41/_xlfn.XLOOKUP(R$3,'Fund Management'!$A:$A,'Fund Management'!$E:$E))</f>
        <v>1.574232445221031</v>
      </c>
      <c r="S71" s="33">
        <f>R71+(S41/_xlfn.XLOOKUP(S$3,'Fund Management'!$A:$A,'Fund Management'!$E:$E))</f>
        <v>1.574232445221031</v>
      </c>
      <c r="T71" s="33">
        <f>S71+(T41/_xlfn.XLOOKUP(T$3,'Fund Management'!$A:$A,'Fund Management'!$E:$E))</f>
        <v>1.574232445221031</v>
      </c>
      <c r="U71" s="33">
        <f>T71+(U41/_xlfn.XLOOKUP(U$3,'Fund Management'!$A:$A,'Fund Management'!$E:$E))</f>
        <v>1.574232445221031</v>
      </c>
      <c r="V71" s="33">
        <f>U71+(V41/_xlfn.XLOOKUP(V$3,'Fund Management'!$A:$A,'Fund Management'!$E:$E))</f>
        <v>1.574232445221031</v>
      </c>
      <c r="W71" s="33">
        <f>V71+(W41/_xlfn.XLOOKUP(W$3,'Fund Management'!$A:$A,'Fund Management'!$E:$E))</f>
        <v>1.574232445221031</v>
      </c>
      <c r="X71" s="33">
        <f>W71+(X41/_xlfn.XLOOKUP(X$3,'Fund Management'!$A:$A,'Fund Management'!$E:$E))</f>
        <v>1.574232445221031</v>
      </c>
      <c r="Y71" s="33">
        <f>X71+(Y41/_xlfn.XLOOKUP(Y$3,'Fund Management'!$A:$A,'Fund Management'!$E:$E))</f>
        <v>1.574232445221031</v>
      </c>
      <c r="Z71" s="33">
        <f>Y71+(Z41/_xlfn.XLOOKUP(Z$3,'Fund Management'!$A:$A,'Fund Management'!$E:$E))</f>
        <v>1.574232445221031</v>
      </c>
      <c r="AA71" s="33"/>
      <c r="AB71" s="33"/>
    </row>
    <row r="72" spans="1:28" x14ac:dyDescent="0.3">
      <c r="B72" s="23" t="s">
        <v>21</v>
      </c>
      <c r="C72" s="51" cm="1">
        <f t="array" ref="C72">LOOKUP(2,1/(D72:XFD72&lt;&gt;""),D72:XFD72)</f>
        <v>3.9468777436166969</v>
      </c>
      <c r="D72" s="33">
        <f>D42/_xlfn.XLOOKUP(D$3,'Fund Management'!A:A,'Fund Management'!E:E)</f>
        <v>0.54780000000000006</v>
      </c>
      <c r="E72" s="33">
        <f>D72+(E42/_xlfn.XLOOKUP(E$3,'Fund Management'!$A:$A,'Fund Management'!$E:$E))</f>
        <v>0.54780000000000006</v>
      </c>
      <c r="F72" s="33">
        <f>E72+(F42/_xlfn.XLOOKUP(F$3,'Fund Management'!$A:$A,'Fund Management'!$E:$E))</f>
        <v>0.54780000000000006</v>
      </c>
      <c r="G72" s="33">
        <f>F72+(G42/_xlfn.XLOOKUP(G$3,'Fund Management'!$A:$A,'Fund Management'!$E:$E))</f>
        <v>0.54780000000000006</v>
      </c>
      <c r="H72" s="33">
        <f>G72+(H42/_xlfn.XLOOKUP(H$3,'Fund Management'!$A:$A,'Fund Management'!$E:$E))</f>
        <v>0.54780000000000006</v>
      </c>
      <c r="I72" s="33">
        <f>H72+(I42/_xlfn.XLOOKUP(I$3,'Fund Management'!$A:$A,'Fund Management'!$E:$E))</f>
        <v>0.54780000000000006</v>
      </c>
      <c r="J72" s="33">
        <f>I72+(J42/_xlfn.XLOOKUP(J$3,'Fund Management'!$A:$A,'Fund Management'!$E:$E))</f>
        <v>0.54780000000000006</v>
      </c>
      <c r="K72" s="33">
        <f>J72+(K42/_xlfn.XLOOKUP(K$3,'Fund Management'!$A:$A,'Fund Management'!$E:$E))</f>
        <v>0.54780000000000006</v>
      </c>
      <c r="L72" s="33">
        <f>K72+(L42/_xlfn.XLOOKUP(L$3,'Fund Management'!$A:$A,'Fund Management'!$E:$E))</f>
        <v>0.54780000000000006</v>
      </c>
      <c r="M72" s="33">
        <f>L72+(M42/_xlfn.XLOOKUP(M$3,'Fund Management'!$A:$A,'Fund Management'!$E:$E))</f>
        <v>0.54780000000000006</v>
      </c>
      <c r="N72" s="33">
        <f>M72+(N42/_xlfn.XLOOKUP(N$3,'Fund Management'!$A:$A,'Fund Management'!$E:$E))</f>
        <v>0.54780000000000006</v>
      </c>
      <c r="O72" s="33">
        <f>N72+(O42/_xlfn.XLOOKUP(O$3,'Fund Management'!$A:$A,'Fund Management'!$E:$E))</f>
        <v>0.54780000000000006</v>
      </c>
      <c r="P72" s="33">
        <f>O72+(P42/_xlfn.XLOOKUP(P$3,'Fund Management'!$A:$A,'Fund Management'!$E:$E))</f>
        <v>0.54780000000000006</v>
      </c>
      <c r="Q72" s="33">
        <f>P72+(Q42/_xlfn.XLOOKUP(Q$3,'Fund Management'!$A:$A,'Fund Management'!$E:$E))</f>
        <v>0.54780000000000006</v>
      </c>
      <c r="R72" s="33">
        <f>Q72+(R42/_xlfn.XLOOKUP(R$3,'Fund Management'!$A:$A,'Fund Management'!$E:$E))</f>
        <v>0.54780000000000006</v>
      </c>
      <c r="S72" s="33">
        <f>R72+(S42/_xlfn.XLOOKUP(S$3,'Fund Management'!$A:$A,'Fund Management'!$E:$E))</f>
        <v>0.54780000000000006</v>
      </c>
      <c r="T72" s="33">
        <f>S72+(T42/_xlfn.XLOOKUP(T$3,'Fund Management'!$A:$A,'Fund Management'!$E:$E))</f>
        <v>3.9468777436166969</v>
      </c>
      <c r="U72" s="33">
        <f>T72+(U42/_xlfn.XLOOKUP(U$3,'Fund Management'!$A:$A,'Fund Management'!$E:$E))</f>
        <v>3.9468777436166969</v>
      </c>
      <c r="V72" s="33">
        <f>U72+(V42/_xlfn.XLOOKUP(V$3,'Fund Management'!$A:$A,'Fund Management'!$E:$E))</f>
        <v>3.9468777436166969</v>
      </c>
      <c r="W72" s="33">
        <f>V72+(W42/_xlfn.XLOOKUP(W$3,'Fund Management'!$A:$A,'Fund Management'!$E:$E))</f>
        <v>3.9468777436166969</v>
      </c>
      <c r="X72" s="33">
        <f>W72+(X42/_xlfn.XLOOKUP(X$3,'Fund Management'!$A:$A,'Fund Management'!$E:$E))</f>
        <v>3.9468777436166969</v>
      </c>
      <c r="Y72" s="33">
        <f>X72+(Y42/_xlfn.XLOOKUP(Y$3,'Fund Management'!$A:$A,'Fund Management'!$E:$E))</f>
        <v>3.9468777436166969</v>
      </c>
      <c r="Z72" s="33">
        <f>Y72+(Z42/_xlfn.XLOOKUP(Z$3,'Fund Management'!$A:$A,'Fund Management'!$E:$E))</f>
        <v>3.9468777436166969</v>
      </c>
      <c r="AA72" s="33"/>
      <c r="AB72" s="33"/>
    </row>
    <row r="73" spans="1:28" x14ac:dyDescent="0.3">
      <c r="B73" s="23" t="s">
        <v>15</v>
      </c>
      <c r="C73" s="51" cm="1">
        <f t="array" ref="C73">LOOKUP(2,1/(D73:XFD73&lt;&gt;""),D73:XFD73)</f>
        <v>1.5050648904420618</v>
      </c>
      <c r="D73" s="33">
        <f>D43/_xlfn.XLOOKUP(D$3,'Fund Management'!A:A,'Fund Management'!E:E)</f>
        <v>0.54780000000000006</v>
      </c>
      <c r="E73" s="33">
        <f>D73+(E43/_xlfn.XLOOKUP(E$3,'Fund Management'!$A:$A,'Fund Management'!$E:$E))</f>
        <v>1.5050648904420618</v>
      </c>
      <c r="F73" s="33">
        <f>E73+(F43/_xlfn.XLOOKUP(F$3,'Fund Management'!$A:$A,'Fund Management'!$E:$E))</f>
        <v>1.5050648904420618</v>
      </c>
      <c r="G73" s="33">
        <f>F73+(G43/_xlfn.XLOOKUP(G$3,'Fund Management'!$A:$A,'Fund Management'!$E:$E))</f>
        <v>1.5050648904420618</v>
      </c>
      <c r="H73" s="33">
        <f>G73+(H43/_xlfn.XLOOKUP(H$3,'Fund Management'!$A:$A,'Fund Management'!$E:$E))</f>
        <v>1.5050648904420618</v>
      </c>
      <c r="I73" s="33">
        <f>H73+(I43/_xlfn.XLOOKUP(I$3,'Fund Management'!$A:$A,'Fund Management'!$E:$E))</f>
        <v>1.5050648904420618</v>
      </c>
      <c r="J73" s="33">
        <f>I73+(J43/_xlfn.XLOOKUP(J$3,'Fund Management'!$A:$A,'Fund Management'!$E:$E))</f>
        <v>1.5050648904420618</v>
      </c>
      <c r="K73" s="33">
        <f>J73+(K43/_xlfn.XLOOKUP(K$3,'Fund Management'!$A:$A,'Fund Management'!$E:$E))</f>
        <v>1.5050648904420618</v>
      </c>
      <c r="L73" s="33">
        <f>K73+(L43/_xlfn.XLOOKUP(L$3,'Fund Management'!$A:$A,'Fund Management'!$E:$E))</f>
        <v>1.5050648904420618</v>
      </c>
      <c r="M73" s="33">
        <f>L73+(M43/_xlfn.XLOOKUP(M$3,'Fund Management'!$A:$A,'Fund Management'!$E:$E))</f>
        <v>1.5050648904420618</v>
      </c>
      <c r="N73" s="33">
        <f>M73+(N43/_xlfn.XLOOKUP(N$3,'Fund Management'!$A:$A,'Fund Management'!$E:$E))</f>
        <v>1.5050648904420618</v>
      </c>
      <c r="O73" s="33">
        <f>N73+(O43/_xlfn.XLOOKUP(O$3,'Fund Management'!$A:$A,'Fund Management'!$E:$E))</f>
        <v>1.5050648904420618</v>
      </c>
      <c r="P73" s="33">
        <f>O73+(P43/_xlfn.XLOOKUP(P$3,'Fund Management'!$A:$A,'Fund Management'!$E:$E))</f>
        <v>1.5050648904420618</v>
      </c>
      <c r="Q73" s="33">
        <f>P73+(Q43/_xlfn.XLOOKUP(Q$3,'Fund Management'!$A:$A,'Fund Management'!$E:$E))</f>
        <v>1.5050648904420618</v>
      </c>
      <c r="R73" s="33">
        <f>Q73+(R43/_xlfn.XLOOKUP(R$3,'Fund Management'!$A:$A,'Fund Management'!$E:$E))</f>
        <v>1.5050648904420618</v>
      </c>
      <c r="S73" s="33">
        <f>R73+(S43/_xlfn.XLOOKUP(S$3,'Fund Management'!$A:$A,'Fund Management'!$E:$E))</f>
        <v>1.5050648904420618</v>
      </c>
      <c r="T73" s="33">
        <f>S73+(T43/_xlfn.XLOOKUP(T$3,'Fund Management'!$A:$A,'Fund Management'!$E:$E))</f>
        <v>1.5050648904420618</v>
      </c>
      <c r="U73" s="33">
        <f>T73+(U43/_xlfn.XLOOKUP(U$3,'Fund Management'!$A:$A,'Fund Management'!$E:$E))</f>
        <v>1.5050648904420618</v>
      </c>
      <c r="V73" s="33">
        <f>U73+(V43/_xlfn.XLOOKUP(V$3,'Fund Management'!$A:$A,'Fund Management'!$E:$E))</f>
        <v>1.5050648904420618</v>
      </c>
      <c r="W73" s="33">
        <f>V73+(W43/_xlfn.XLOOKUP(W$3,'Fund Management'!$A:$A,'Fund Management'!$E:$E))</f>
        <v>1.5050648904420618</v>
      </c>
      <c r="X73" s="33">
        <f>W73+(X43/_xlfn.XLOOKUP(X$3,'Fund Management'!$A:$A,'Fund Management'!$E:$E))</f>
        <v>1.5050648904420618</v>
      </c>
      <c r="Y73" s="33">
        <f>X73+(Y43/_xlfn.XLOOKUP(Y$3,'Fund Management'!$A:$A,'Fund Management'!$E:$E))</f>
        <v>1.5050648904420618</v>
      </c>
      <c r="Z73" s="33">
        <f>Y73+(Z43/_xlfn.XLOOKUP(Z$3,'Fund Management'!$A:$A,'Fund Management'!$E:$E))</f>
        <v>1.5050648904420618</v>
      </c>
      <c r="AA73" s="33"/>
      <c r="AB73" s="33"/>
    </row>
    <row r="74" spans="1:28" x14ac:dyDescent="0.3">
      <c r="B74" s="23" t="s">
        <v>17</v>
      </c>
      <c r="C74" s="51" cm="1">
        <f t="array" ref="C74">LOOKUP(2,1/(D74:XFD74&lt;&gt;""),D74:XFD74)</f>
        <v>-0.23557610168155707</v>
      </c>
      <c r="D74" s="33">
        <f>D44/_xlfn.XLOOKUP(D$3,'Fund Management'!A:A,'Fund Management'!E:E)</f>
        <v>0.54780000000000006</v>
      </c>
      <c r="E74" s="33">
        <f>D74+(E44/_xlfn.XLOOKUP(E$3,'Fund Management'!$A:$A,'Fund Management'!$E:$E))</f>
        <v>0.54780000000000006</v>
      </c>
      <c r="F74" s="33">
        <f>E74+(F44/_xlfn.XLOOKUP(F$3,'Fund Management'!$A:$A,'Fund Management'!$E:$E))</f>
        <v>0.54780000000000006</v>
      </c>
      <c r="G74" s="33">
        <f>F74+(G44/_xlfn.XLOOKUP(G$3,'Fund Management'!$A:$A,'Fund Management'!$E:$E))</f>
        <v>0.54780000000000006</v>
      </c>
      <c r="H74" s="33">
        <f>G74+(H44/_xlfn.XLOOKUP(H$3,'Fund Management'!$A:$A,'Fund Management'!$E:$E))</f>
        <v>0.54780000000000006</v>
      </c>
      <c r="I74" s="33">
        <f>H74+(I44/_xlfn.XLOOKUP(I$3,'Fund Management'!$A:$A,'Fund Management'!$E:$E))</f>
        <v>0.54780000000000006</v>
      </c>
      <c r="J74" s="33">
        <f>I74+(J44/_xlfn.XLOOKUP(J$3,'Fund Management'!$A:$A,'Fund Management'!$E:$E))</f>
        <v>0.54780000000000006</v>
      </c>
      <c r="K74" s="33">
        <f>J74+(K44/_xlfn.XLOOKUP(K$3,'Fund Management'!$A:$A,'Fund Management'!$E:$E))</f>
        <v>0.54780000000000006</v>
      </c>
      <c r="L74" s="33">
        <f>K74+(L44/_xlfn.XLOOKUP(L$3,'Fund Management'!$A:$A,'Fund Management'!$E:$E))</f>
        <v>0.54780000000000006</v>
      </c>
      <c r="M74" s="33">
        <f>L74+(M44/_xlfn.XLOOKUP(M$3,'Fund Management'!$A:$A,'Fund Management'!$E:$E))</f>
        <v>0.54780000000000006</v>
      </c>
      <c r="N74" s="33">
        <f>M74+(N44/_xlfn.XLOOKUP(N$3,'Fund Management'!$A:$A,'Fund Management'!$E:$E))</f>
        <v>0.54780000000000006</v>
      </c>
      <c r="O74" s="33">
        <f>N74+(O44/_xlfn.XLOOKUP(O$3,'Fund Management'!$A:$A,'Fund Management'!$E:$E))</f>
        <v>0.54780000000000006</v>
      </c>
      <c r="P74" s="33">
        <f>O74+(P44/_xlfn.XLOOKUP(P$3,'Fund Management'!$A:$A,'Fund Management'!$E:$E))</f>
        <v>0.54780000000000006</v>
      </c>
      <c r="Q74" s="33">
        <f>P74+(Q44/_xlfn.XLOOKUP(Q$3,'Fund Management'!$A:$A,'Fund Management'!$E:$E))</f>
        <v>0.54780000000000006</v>
      </c>
      <c r="R74" s="33">
        <f>Q74+(R44/_xlfn.XLOOKUP(R$3,'Fund Management'!$A:$A,'Fund Management'!$E:$E))</f>
        <v>-0.23557610168155707</v>
      </c>
      <c r="S74" s="33">
        <f>R74+(S44/_xlfn.XLOOKUP(S$3,'Fund Management'!$A:$A,'Fund Management'!$E:$E))</f>
        <v>-0.23557610168155707</v>
      </c>
      <c r="T74" s="33">
        <f>S74+(T44/_xlfn.XLOOKUP(T$3,'Fund Management'!$A:$A,'Fund Management'!$E:$E))</f>
        <v>-0.23557610168155707</v>
      </c>
      <c r="U74" s="33">
        <f>T74+(U44/_xlfn.XLOOKUP(U$3,'Fund Management'!$A:$A,'Fund Management'!$E:$E))</f>
        <v>-0.23557610168155707</v>
      </c>
      <c r="V74" s="33">
        <f>U74+(V44/_xlfn.XLOOKUP(V$3,'Fund Management'!$A:$A,'Fund Management'!$E:$E))</f>
        <v>-0.23557610168155707</v>
      </c>
      <c r="W74" s="33">
        <f>V74+(W44/_xlfn.XLOOKUP(W$3,'Fund Management'!$A:$A,'Fund Management'!$E:$E))</f>
        <v>-0.23557610168155707</v>
      </c>
      <c r="X74" s="33">
        <f>W74+(X44/_xlfn.XLOOKUP(X$3,'Fund Management'!$A:$A,'Fund Management'!$E:$E))</f>
        <v>-0.23557610168155707</v>
      </c>
      <c r="Y74" s="33">
        <f>X74+(Y44/_xlfn.XLOOKUP(Y$3,'Fund Management'!$A:$A,'Fund Management'!$E:$E))</f>
        <v>-0.23557610168155707</v>
      </c>
      <c r="Z74" s="33">
        <f>Y74+(Z44/_xlfn.XLOOKUP(Z$3,'Fund Management'!$A:$A,'Fund Management'!$E:$E))</f>
        <v>-0.23557610168155707</v>
      </c>
      <c r="AA74" s="33"/>
      <c r="AB74" s="33"/>
    </row>
    <row r="75" spans="1:28" x14ac:dyDescent="0.3">
      <c r="B75" s="23" t="s">
        <v>20</v>
      </c>
      <c r="C75" s="51" cm="1">
        <f t="array" ref="C75">LOOKUP(2,1/(D75:XFD75&lt;&gt;""),D75:XFD75)</f>
        <v>1.0211963052228303</v>
      </c>
      <c r="D75" s="33">
        <f>D45/_xlfn.XLOOKUP(D$3,'Fund Management'!A:A,'Fund Management'!E:E)</f>
        <v>0.54780000000000006</v>
      </c>
      <c r="E75" s="33">
        <f>D75+(E45/_xlfn.XLOOKUP(E$3,'Fund Management'!$A:$A,'Fund Management'!$E:$E))</f>
        <v>0.54780000000000006</v>
      </c>
      <c r="F75" s="33">
        <f>E75+(F45/_xlfn.XLOOKUP(F$3,'Fund Management'!$A:$A,'Fund Management'!$E:$E))</f>
        <v>1.0211963052228303</v>
      </c>
      <c r="G75" s="33">
        <f>F75+(G45/_xlfn.XLOOKUP(G$3,'Fund Management'!$A:$A,'Fund Management'!$E:$E))</f>
        <v>1.0211963052228303</v>
      </c>
      <c r="H75" s="33">
        <f>G75+(H45/_xlfn.XLOOKUP(H$3,'Fund Management'!$A:$A,'Fund Management'!$E:$E))</f>
        <v>1.0211963052228303</v>
      </c>
      <c r="I75" s="33">
        <f>H75+(I45/_xlfn.XLOOKUP(I$3,'Fund Management'!$A:$A,'Fund Management'!$E:$E))</f>
        <v>1.0211963052228303</v>
      </c>
      <c r="J75" s="33">
        <f>I75+(J45/_xlfn.XLOOKUP(J$3,'Fund Management'!$A:$A,'Fund Management'!$E:$E))</f>
        <v>1.0211963052228303</v>
      </c>
      <c r="K75" s="33">
        <f>J75+(K45/_xlfn.XLOOKUP(K$3,'Fund Management'!$A:$A,'Fund Management'!$E:$E))</f>
        <v>1.0211963052228303</v>
      </c>
      <c r="L75" s="33">
        <f>K75+(L45/_xlfn.XLOOKUP(L$3,'Fund Management'!$A:$A,'Fund Management'!$E:$E))</f>
        <v>1.0211963052228303</v>
      </c>
      <c r="M75" s="33">
        <f>L75+(M45/_xlfn.XLOOKUP(M$3,'Fund Management'!$A:$A,'Fund Management'!$E:$E))</f>
        <v>1.0211963052228303</v>
      </c>
      <c r="N75" s="33">
        <f>M75+(N45/_xlfn.XLOOKUP(N$3,'Fund Management'!$A:$A,'Fund Management'!$E:$E))</f>
        <v>1.0211963052228303</v>
      </c>
      <c r="O75" s="33">
        <f>N75+(O45/_xlfn.XLOOKUP(O$3,'Fund Management'!$A:$A,'Fund Management'!$E:$E))</f>
        <v>1.0211963052228303</v>
      </c>
      <c r="P75" s="33">
        <f>O75+(P45/_xlfn.XLOOKUP(P$3,'Fund Management'!$A:$A,'Fund Management'!$E:$E))</f>
        <v>1.0211963052228303</v>
      </c>
      <c r="Q75" s="33">
        <f>P75+(Q45/_xlfn.XLOOKUP(Q$3,'Fund Management'!$A:$A,'Fund Management'!$E:$E))</f>
        <v>1.0211963052228303</v>
      </c>
      <c r="R75" s="33">
        <f>Q75+(R45/_xlfn.XLOOKUP(R$3,'Fund Management'!$A:$A,'Fund Management'!$E:$E))</f>
        <v>1.0211963052228303</v>
      </c>
      <c r="S75" s="33">
        <f>R75+(S45/_xlfn.XLOOKUP(S$3,'Fund Management'!$A:$A,'Fund Management'!$E:$E))</f>
        <v>1.0211963052228303</v>
      </c>
      <c r="T75" s="33">
        <f>S75+(T45/_xlfn.XLOOKUP(T$3,'Fund Management'!$A:$A,'Fund Management'!$E:$E))</f>
        <v>1.0211963052228303</v>
      </c>
      <c r="U75" s="33">
        <f>T75+(U45/_xlfn.XLOOKUP(U$3,'Fund Management'!$A:$A,'Fund Management'!$E:$E))</f>
        <v>1.0211963052228303</v>
      </c>
      <c r="V75" s="33">
        <f>U75+(V45/_xlfn.XLOOKUP(V$3,'Fund Management'!$A:$A,'Fund Management'!$E:$E))</f>
        <v>1.0211963052228303</v>
      </c>
      <c r="W75" s="33">
        <f>V75+(W45/_xlfn.XLOOKUP(W$3,'Fund Management'!$A:$A,'Fund Management'!$E:$E))</f>
        <v>1.0211963052228303</v>
      </c>
      <c r="X75" s="33">
        <f>W75+(X45/_xlfn.XLOOKUP(X$3,'Fund Management'!$A:$A,'Fund Management'!$E:$E))</f>
        <v>1.0211963052228303</v>
      </c>
      <c r="Y75" s="33">
        <f>X75+(Y45/_xlfn.XLOOKUP(Y$3,'Fund Management'!$A:$A,'Fund Management'!$E:$E))</f>
        <v>1.0211963052228303</v>
      </c>
      <c r="Z75" s="33">
        <f>Y75+(Z45/_xlfn.XLOOKUP(Z$3,'Fund Management'!$A:$A,'Fund Management'!$E:$E))</f>
        <v>1.0211963052228303</v>
      </c>
      <c r="AA75" s="33"/>
      <c r="AB75" s="33"/>
    </row>
    <row r="76" spans="1:28" x14ac:dyDescent="0.3">
      <c r="B76" s="23" t="s">
        <v>9</v>
      </c>
      <c r="C76" s="51" cm="1">
        <f t="array" ref="C76">LOOKUP(2,1/(D76:XFD76&lt;&gt;""),D76:XFD76)</f>
        <v>1.0264324452210309</v>
      </c>
      <c r="D76" s="33">
        <f>D46/_xlfn.XLOOKUP(D$3,'Fund Management'!A:A,'Fund Management'!E:E)</f>
        <v>0.54780000000000006</v>
      </c>
      <c r="E76" s="33">
        <f>D76+(E46/_xlfn.XLOOKUP(E$3,'Fund Management'!$A:$A,'Fund Management'!$E:$E))</f>
        <v>1.0264324452210309</v>
      </c>
      <c r="F76" s="33">
        <f>E76+(F46/_xlfn.XLOOKUP(F$3,'Fund Management'!$A:$A,'Fund Management'!$E:$E))</f>
        <v>1.0264324452210309</v>
      </c>
      <c r="G76" s="33">
        <f>F76+(G46/_xlfn.XLOOKUP(G$3,'Fund Management'!$A:$A,'Fund Management'!$E:$E))</f>
        <v>1.0264324452210309</v>
      </c>
      <c r="H76" s="33">
        <f>G76+(H46/_xlfn.XLOOKUP(H$3,'Fund Management'!$A:$A,'Fund Management'!$E:$E))</f>
        <v>1.0264324452210309</v>
      </c>
      <c r="I76" s="33">
        <f>H76+(I46/_xlfn.XLOOKUP(I$3,'Fund Management'!$A:$A,'Fund Management'!$E:$E))</f>
        <v>1.0264324452210309</v>
      </c>
      <c r="J76" s="33">
        <f>I76+(J46/_xlfn.XLOOKUP(J$3,'Fund Management'!$A:$A,'Fund Management'!$E:$E))</f>
        <v>1.0264324452210309</v>
      </c>
      <c r="K76" s="33">
        <f>J76+(K46/_xlfn.XLOOKUP(K$3,'Fund Management'!$A:$A,'Fund Management'!$E:$E))</f>
        <v>1.0264324452210309</v>
      </c>
      <c r="L76" s="33">
        <f>K76+(L46/_xlfn.XLOOKUP(L$3,'Fund Management'!$A:$A,'Fund Management'!$E:$E))</f>
        <v>1.0264324452210309</v>
      </c>
      <c r="M76" s="33">
        <f>L76+(M46/_xlfn.XLOOKUP(M$3,'Fund Management'!$A:$A,'Fund Management'!$E:$E))</f>
        <v>1.0264324452210309</v>
      </c>
      <c r="N76" s="33">
        <f>M76+(N46/_xlfn.XLOOKUP(N$3,'Fund Management'!$A:$A,'Fund Management'!$E:$E))</f>
        <v>1.0264324452210309</v>
      </c>
      <c r="O76" s="33">
        <f>N76+(O46/_xlfn.XLOOKUP(O$3,'Fund Management'!$A:$A,'Fund Management'!$E:$E))</f>
        <v>1.0264324452210309</v>
      </c>
      <c r="P76" s="33">
        <f>O76+(P46/_xlfn.XLOOKUP(P$3,'Fund Management'!$A:$A,'Fund Management'!$E:$E))</f>
        <v>1.0264324452210309</v>
      </c>
      <c r="Q76" s="33">
        <f>P76+(Q46/_xlfn.XLOOKUP(Q$3,'Fund Management'!$A:$A,'Fund Management'!$E:$E))</f>
        <v>1.0264324452210309</v>
      </c>
      <c r="R76" s="33">
        <f>Q76+(R46/_xlfn.XLOOKUP(R$3,'Fund Management'!$A:$A,'Fund Management'!$E:$E))</f>
        <v>1.0264324452210309</v>
      </c>
      <c r="S76" s="33">
        <f>R76+(S46/_xlfn.XLOOKUP(S$3,'Fund Management'!$A:$A,'Fund Management'!$E:$E))</f>
        <v>1.0264324452210309</v>
      </c>
      <c r="T76" s="33">
        <f>S76+(T46/_xlfn.XLOOKUP(T$3,'Fund Management'!$A:$A,'Fund Management'!$E:$E))</f>
        <v>1.0264324452210309</v>
      </c>
      <c r="U76" s="33">
        <f>T76+(U46/_xlfn.XLOOKUP(U$3,'Fund Management'!$A:$A,'Fund Management'!$E:$E))</f>
        <v>1.0264324452210309</v>
      </c>
      <c r="V76" s="33">
        <f>U76+(V46/_xlfn.XLOOKUP(V$3,'Fund Management'!$A:$A,'Fund Management'!$E:$E))</f>
        <v>1.0264324452210309</v>
      </c>
      <c r="W76" s="33">
        <f>V76+(W46/_xlfn.XLOOKUP(W$3,'Fund Management'!$A:$A,'Fund Management'!$E:$E))</f>
        <v>1.0264324452210309</v>
      </c>
      <c r="X76" s="33">
        <f>W76+(X46/_xlfn.XLOOKUP(X$3,'Fund Management'!$A:$A,'Fund Management'!$E:$E))</f>
        <v>1.0264324452210309</v>
      </c>
      <c r="Y76" s="33">
        <f>X76+(Y46/_xlfn.XLOOKUP(Y$3,'Fund Management'!$A:$A,'Fund Management'!$E:$E))</f>
        <v>1.0264324452210309</v>
      </c>
      <c r="Z76" s="33">
        <f>Y76+(Z46/_xlfn.XLOOKUP(Z$3,'Fund Management'!$A:$A,'Fund Management'!$E:$E))</f>
        <v>1.0264324452210309</v>
      </c>
      <c r="AA76" s="33"/>
      <c r="AB76" s="33"/>
    </row>
    <row r="77" spans="1:28" x14ac:dyDescent="0.3">
      <c r="B77" s="23" t="s">
        <v>16</v>
      </c>
      <c r="C77" s="51" cm="1">
        <f t="array" ref="C77">LOOKUP(2,1/(D77:XFD77&lt;&gt;""),D77:XFD77)</f>
        <v>5.3341244522103093</v>
      </c>
      <c r="D77" s="33">
        <f>D47/_xlfn.XLOOKUP(D$3,'Fund Management'!A:A,'Fund Management'!E:E)</f>
        <v>0.54780000000000006</v>
      </c>
      <c r="E77" s="33">
        <f>D77+(E47/_xlfn.XLOOKUP(E$3,'Fund Management'!$A:$A,'Fund Management'!$E:$E))</f>
        <v>5.3341244522103093</v>
      </c>
      <c r="F77" s="33">
        <f>E77+(F47/_xlfn.XLOOKUP(F$3,'Fund Management'!$A:$A,'Fund Management'!$E:$E))</f>
        <v>5.3341244522103093</v>
      </c>
      <c r="G77" s="33">
        <f>F77+(G47/_xlfn.XLOOKUP(G$3,'Fund Management'!$A:$A,'Fund Management'!$E:$E))</f>
        <v>5.3341244522103093</v>
      </c>
      <c r="H77" s="33">
        <f>G77+(H47/_xlfn.XLOOKUP(H$3,'Fund Management'!$A:$A,'Fund Management'!$E:$E))</f>
        <v>5.3341244522103093</v>
      </c>
      <c r="I77" s="33">
        <f>H77+(I47/_xlfn.XLOOKUP(I$3,'Fund Management'!$A:$A,'Fund Management'!$E:$E))</f>
        <v>5.3341244522103093</v>
      </c>
      <c r="J77" s="33">
        <f>I77+(J47/_xlfn.XLOOKUP(J$3,'Fund Management'!$A:$A,'Fund Management'!$E:$E))</f>
        <v>5.3341244522103093</v>
      </c>
      <c r="K77" s="33">
        <f>J77+(K47/_xlfn.XLOOKUP(K$3,'Fund Management'!$A:$A,'Fund Management'!$E:$E))</f>
        <v>5.3341244522103093</v>
      </c>
      <c r="L77" s="33">
        <f>K77+(L47/_xlfn.XLOOKUP(L$3,'Fund Management'!$A:$A,'Fund Management'!$E:$E))</f>
        <v>5.3341244522103093</v>
      </c>
      <c r="M77" s="33">
        <f>L77+(M47/_xlfn.XLOOKUP(M$3,'Fund Management'!$A:$A,'Fund Management'!$E:$E))</f>
        <v>5.3341244522103093</v>
      </c>
      <c r="N77" s="33">
        <f>M77+(N47/_xlfn.XLOOKUP(N$3,'Fund Management'!$A:$A,'Fund Management'!$E:$E))</f>
        <v>5.3341244522103093</v>
      </c>
      <c r="O77" s="33">
        <f>N77+(O47/_xlfn.XLOOKUP(O$3,'Fund Management'!$A:$A,'Fund Management'!$E:$E))</f>
        <v>5.3341244522103093</v>
      </c>
      <c r="P77" s="33">
        <f>O77+(P47/_xlfn.XLOOKUP(P$3,'Fund Management'!$A:$A,'Fund Management'!$E:$E))</f>
        <v>5.3341244522103093</v>
      </c>
      <c r="Q77" s="33">
        <f>P77+(Q47/_xlfn.XLOOKUP(Q$3,'Fund Management'!$A:$A,'Fund Management'!$E:$E))</f>
        <v>5.3341244522103093</v>
      </c>
      <c r="R77" s="33">
        <f>Q77+(R47/_xlfn.XLOOKUP(R$3,'Fund Management'!$A:$A,'Fund Management'!$E:$E))</f>
        <v>5.3341244522103093</v>
      </c>
      <c r="S77" s="33">
        <f>R77+(S47/_xlfn.XLOOKUP(S$3,'Fund Management'!$A:$A,'Fund Management'!$E:$E))</f>
        <v>5.3341244522103093</v>
      </c>
      <c r="T77" s="33">
        <f>S77+(T47/_xlfn.XLOOKUP(T$3,'Fund Management'!$A:$A,'Fund Management'!$E:$E))</f>
        <v>5.3341244522103093</v>
      </c>
      <c r="U77" s="33">
        <f>T77+(U47/_xlfn.XLOOKUP(U$3,'Fund Management'!$A:$A,'Fund Management'!$E:$E))</f>
        <v>5.3341244522103093</v>
      </c>
      <c r="V77" s="33">
        <f>U77+(V47/_xlfn.XLOOKUP(V$3,'Fund Management'!$A:$A,'Fund Management'!$E:$E))</f>
        <v>5.3341244522103093</v>
      </c>
      <c r="W77" s="33">
        <f>V77+(W47/_xlfn.XLOOKUP(W$3,'Fund Management'!$A:$A,'Fund Management'!$E:$E))</f>
        <v>5.3341244522103093</v>
      </c>
      <c r="X77" s="33">
        <f>W77+(X47/_xlfn.XLOOKUP(X$3,'Fund Management'!$A:$A,'Fund Management'!$E:$E))</f>
        <v>5.3341244522103093</v>
      </c>
      <c r="Y77" s="33">
        <f>X77+(Y47/_xlfn.XLOOKUP(Y$3,'Fund Management'!$A:$A,'Fund Management'!$E:$E))</f>
        <v>5.3341244522103093</v>
      </c>
      <c r="Z77" s="33">
        <f>Y77+(Z47/_xlfn.XLOOKUP(Z$3,'Fund Management'!$A:$A,'Fund Management'!$E:$E))</f>
        <v>5.3341244522103093</v>
      </c>
      <c r="AA77" s="33"/>
      <c r="AB77" s="33"/>
    </row>
    <row r="78" spans="1:28" x14ac:dyDescent="0.3">
      <c r="B78" s="23" t="s">
        <v>19</v>
      </c>
      <c r="C78" s="51" cm="1">
        <f t="array" ref="C78">LOOKUP(2,1/(D78:XFD78&lt;&gt;""),D78:XFD78)</f>
        <v>1.5405191433017165</v>
      </c>
      <c r="D78" s="33">
        <f>D48/_xlfn.XLOOKUP(D$3,'Fund Management'!A:A,'Fund Management'!E:E)</f>
        <v>0.54780000000000006</v>
      </c>
      <c r="E78" s="33">
        <f>D78+(E48/_xlfn.XLOOKUP(E$3,'Fund Management'!$A:$A,'Fund Management'!$E:$E))</f>
        <v>1.0264324452210309</v>
      </c>
      <c r="F78" s="33">
        <f>E78+(F48/_xlfn.XLOOKUP(F$3,'Fund Management'!$A:$A,'Fund Management'!$E:$E))</f>
        <v>1.0264324452210309</v>
      </c>
      <c r="G78" s="33">
        <f>F78+(G48/_xlfn.XLOOKUP(G$3,'Fund Management'!$A:$A,'Fund Management'!$E:$E))</f>
        <v>1.0264324452210309</v>
      </c>
      <c r="H78" s="33">
        <f>G78+(H48/_xlfn.XLOOKUP(H$3,'Fund Management'!$A:$A,'Fund Management'!$E:$E))</f>
        <v>1.0264324452210309</v>
      </c>
      <c r="I78" s="33">
        <f>H78+(I48/_xlfn.XLOOKUP(I$3,'Fund Management'!$A:$A,'Fund Management'!$E:$E))</f>
        <v>1.0264324452210309</v>
      </c>
      <c r="J78" s="33">
        <f>I78+(J48/_xlfn.XLOOKUP(J$3,'Fund Management'!$A:$A,'Fund Management'!$E:$E))</f>
        <v>1.0264324452210309</v>
      </c>
      <c r="K78" s="33">
        <f>J78+(K48/_xlfn.XLOOKUP(K$3,'Fund Management'!$A:$A,'Fund Management'!$E:$E))</f>
        <v>1.0264324452210309</v>
      </c>
      <c r="L78" s="33">
        <f>K78+(L48/_xlfn.XLOOKUP(L$3,'Fund Management'!$A:$A,'Fund Management'!$E:$E))</f>
        <v>1.0264324452210309</v>
      </c>
      <c r="M78" s="33">
        <f>L78+(M48/_xlfn.XLOOKUP(M$3,'Fund Management'!$A:$A,'Fund Management'!$E:$E))</f>
        <v>1.0264324452210309</v>
      </c>
      <c r="N78" s="33">
        <f>M78+(N48/_xlfn.XLOOKUP(N$3,'Fund Management'!$A:$A,'Fund Management'!$E:$E))</f>
        <v>1.0264324452210309</v>
      </c>
      <c r="O78" s="33">
        <f>N78+(O48/_xlfn.XLOOKUP(O$3,'Fund Management'!$A:$A,'Fund Management'!$E:$E))</f>
        <v>1.0264324452210309</v>
      </c>
      <c r="P78" s="33">
        <f>O78+(P48/_xlfn.XLOOKUP(P$3,'Fund Management'!$A:$A,'Fund Management'!$E:$E))</f>
        <v>1.0264324452210309</v>
      </c>
      <c r="Q78" s="33">
        <f>P78+(Q48/_xlfn.XLOOKUP(Q$3,'Fund Management'!$A:$A,'Fund Management'!$E:$E))</f>
        <v>1.0264324452210309</v>
      </c>
      <c r="R78" s="33">
        <f>Q78+(R48/_xlfn.XLOOKUP(R$3,'Fund Management'!$A:$A,'Fund Management'!$E:$E))</f>
        <v>1.0264324452210309</v>
      </c>
      <c r="S78" s="33">
        <f>R78+(S48/_xlfn.XLOOKUP(S$3,'Fund Management'!$A:$A,'Fund Management'!$E:$E))</f>
        <v>1.0264324452210309</v>
      </c>
      <c r="T78" s="33">
        <f>S78+(T48/_xlfn.XLOOKUP(T$3,'Fund Management'!$A:$A,'Fund Management'!$E:$E))</f>
        <v>1.0264324452210309</v>
      </c>
      <c r="U78" s="33">
        <f>T78+(U48/_xlfn.XLOOKUP(U$3,'Fund Management'!$A:$A,'Fund Management'!$E:$E))</f>
        <v>1.5405191433017165</v>
      </c>
      <c r="V78" s="33">
        <f>U78+(V48/_xlfn.XLOOKUP(V$3,'Fund Management'!$A:$A,'Fund Management'!$E:$E))</f>
        <v>1.5405191433017165</v>
      </c>
      <c r="W78" s="33">
        <f>V78+(W48/_xlfn.XLOOKUP(W$3,'Fund Management'!$A:$A,'Fund Management'!$E:$E))</f>
        <v>1.5405191433017165</v>
      </c>
      <c r="X78" s="33">
        <f>W78+(X48/_xlfn.XLOOKUP(X$3,'Fund Management'!$A:$A,'Fund Management'!$E:$E))</f>
        <v>1.5405191433017165</v>
      </c>
      <c r="Y78" s="33">
        <f>X78+(Y48/_xlfn.XLOOKUP(Y$3,'Fund Management'!$A:$A,'Fund Management'!$E:$E))</f>
        <v>1.5405191433017165</v>
      </c>
      <c r="Z78" s="33">
        <f>Y78+(Z48/_xlfn.XLOOKUP(Z$3,'Fund Management'!$A:$A,'Fund Management'!$E:$E))</f>
        <v>1.5405191433017165</v>
      </c>
      <c r="AA78" s="33"/>
      <c r="AB78" s="33"/>
    </row>
    <row r="79" spans="1:28" x14ac:dyDescent="0.3">
      <c r="B79" s="25" t="s">
        <v>24</v>
      </c>
      <c r="C79" s="51" cm="1">
        <f t="array" ref="C79">LOOKUP(2,1/(D79:XFD79&lt;&gt;""),D79:XFD79)</f>
        <v>0.47863244522103093</v>
      </c>
      <c r="D79" s="33">
        <f>D49/_xlfn.XLOOKUP(D$3,'Fund Management'!A:A,'Fund Management'!E:E)</f>
        <v>0</v>
      </c>
      <c r="E79" s="33">
        <f>D79+(E49/_xlfn.XLOOKUP(E$3,'Fund Management'!$A:$A,'Fund Management'!$E:$E))</f>
        <v>0.47863244522103093</v>
      </c>
      <c r="F79" s="33">
        <f>E79+(F49/_xlfn.XLOOKUP(F$3,'Fund Management'!$A:$A,'Fund Management'!$E:$E))</f>
        <v>0.47863244522103093</v>
      </c>
      <c r="G79" s="33">
        <f>F79+(G49/_xlfn.XLOOKUP(G$3,'Fund Management'!$A:$A,'Fund Management'!$E:$E))</f>
        <v>0.47863244522103093</v>
      </c>
      <c r="H79" s="33">
        <f>G79+(H49/_xlfn.XLOOKUP(H$3,'Fund Management'!$A:$A,'Fund Management'!$E:$E))</f>
        <v>0.47863244522103093</v>
      </c>
      <c r="I79" s="33">
        <f>H79+(I49/_xlfn.XLOOKUP(I$3,'Fund Management'!$A:$A,'Fund Management'!$E:$E))</f>
        <v>0.47863244522103093</v>
      </c>
      <c r="J79" s="33">
        <f>I79+(J49/_xlfn.XLOOKUP(J$3,'Fund Management'!$A:$A,'Fund Management'!$E:$E))</f>
        <v>0.47863244522103093</v>
      </c>
      <c r="K79" s="33">
        <f>J79+(K49/_xlfn.XLOOKUP(K$3,'Fund Management'!$A:$A,'Fund Management'!$E:$E))</f>
        <v>0.47863244522103093</v>
      </c>
      <c r="L79" s="33">
        <f>K79+(L49/_xlfn.XLOOKUP(L$3,'Fund Management'!$A:$A,'Fund Management'!$E:$E))</f>
        <v>0.47863244522103093</v>
      </c>
      <c r="M79" s="33">
        <f>L79+(M49/_xlfn.XLOOKUP(M$3,'Fund Management'!$A:$A,'Fund Management'!$E:$E))</f>
        <v>0.47863244522103093</v>
      </c>
      <c r="N79" s="33">
        <f>M79+(N49/_xlfn.XLOOKUP(N$3,'Fund Management'!$A:$A,'Fund Management'!$E:$E))</f>
        <v>0.47863244522103093</v>
      </c>
      <c r="O79" s="33">
        <f>N79+(O49/_xlfn.XLOOKUP(O$3,'Fund Management'!$A:$A,'Fund Management'!$E:$E))</f>
        <v>0.47863244522103093</v>
      </c>
      <c r="P79" s="33">
        <f>O79+(P49/_xlfn.XLOOKUP(P$3,'Fund Management'!$A:$A,'Fund Management'!$E:$E))</f>
        <v>0.47863244522103093</v>
      </c>
      <c r="Q79" s="33">
        <f>P79+(Q49/_xlfn.XLOOKUP(Q$3,'Fund Management'!$A:$A,'Fund Management'!$E:$E))</f>
        <v>0.47863244522103093</v>
      </c>
      <c r="R79" s="33">
        <f>Q79+(R49/_xlfn.XLOOKUP(R$3,'Fund Management'!$A:$A,'Fund Management'!$E:$E))</f>
        <v>0.47863244522103093</v>
      </c>
      <c r="S79" s="33">
        <f>R79+(S49/_xlfn.XLOOKUP(S$3,'Fund Management'!$A:$A,'Fund Management'!$E:$E))</f>
        <v>0.47863244522103093</v>
      </c>
      <c r="T79" s="33">
        <f>S79+(T49/_xlfn.XLOOKUP(T$3,'Fund Management'!$A:$A,'Fund Management'!$E:$E))</f>
        <v>0.47863244522103093</v>
      </c>
      <c r="U79" s="33">
        <f>T79+(U49/_xlfn.XLOOKUP(U$3,'Fund Management'!$A:$A,'Fund Management'!$E:$E))</f>
        <v>0.47863244522103093</v>
      </c>
      <c r="V79" s="33">
        <f>U79+(V49/_xlfn.XLOOKUP(V$3,'Fund Management'!$A:$A,'Fund Management'!$E:$E))</f>
        <v>0.47863244522103093</v>
      </c>
      <c r="W79" s="33">
        <f>V79+(W49/_xlfn.XLOOKUP(W$3,'Fund Management'!$A:$A,'Fund Management'!$E:$E))</f>
        <v>0.47863244522103093</v>
      </c>
      <c r="X79" s="33">
        <f>W79+(X49/_xlfn.XLOOKUP(X$3,'Fund Management'!$A:$A,'Fund Management'!$E:$E))</f>
        <v>0.47863244522103093</v>
      </c>
      <c r="Y79" s="33">
        <f>X79+(Y49/_xlfn.XLOOKUP(Y$3,'Fund Management'!$A:$A,'Fund Management'!$E:$E))</f>
        <v>0.47863244522103093</v>
      </c>
      <c r="Z79" s="33">
        <f>Y79+(Z49/_xlfn.XLOOKUP(Z$3,'Fund Management'!$A:$A,'Fund Management'!$E:$E))</f>
        <v>0.47863244522103093</v>
      </c>
      <c r="AA79" s="33"/>
      <c r="AB79" s="33"/>
    </row>
    <row r="80" spans="1:28" x14ac:dyDescent="0.3">
      <c r="B80" s="25" t="s">
        <v>22</v>
      </c>
      <c r="C80" s="51" cm="1">
        <f t="array" ref="C80">LOOKUP(2,1/(D80:XFD80&lt;&gt;""),D80:XFD80)</f>
        <v>-0.2083767175920519</v>
      </c>
      <c r="D80" s="33">
        <f>D50/_xlfn.XLOOKUP(D$3,'Fund Management'!A:A,'Fund Management'!E:E)</f>
        <v>0</v>
      </c>
      <c r="E80" s="33">
        <f>D80+(E50/_xlfn.XLOOKUP(E$3,'Fund Management'!$A:$A,'Fund Management'!$E:$E))</f>
        <v>2.8717946713261857</v>
      </c>
      <c r="F80" s="33">
        <f>E80+(F50/_xlfn.XLOOKUP(F$3,'Fund Management'!$A:$A,'Fund Management'!$E:$E))</f>
        <v>2.8717946713261857</v>
      </c>
      <c r="G80" s="33">
        <f>F80+(G50/_xlfn.XLOOKUP(G$3,'Fund Management'!$A:$A,'Fund Management'!$E:$E))</f>
        <v>2.8717946713261857</v>
      </c>
      <c r="H80" s="33">
        <f>G80+(H50/_xlfn.XLOOKUP(H$3,'Fund Management'!$A:$A,'Fund Management'!$E:$E))</f>
        <v>2.8717946713261857</v>
      </c>
      <c r="I80" s="33">
        <f>H80+(I50/_xlfn.XLOOKUP(I$3,'Fund Management'!$A:$A,'Fund Management'!$E:$E))</f>
        <v>2.8717946713261857</v>
      </c>
      <c r="J80" s="33">
        <f>I80+(J50/_xlfn.XLOOKUP(J$3,'Fund Management'!$A:$A,'Fund Management'!$E:$E))</f>
        <v>2.8717946713261857</v>
      </c>
      <c r="K80" s="33">
        <f>J80+(K50/_xlfn.XLOOKUP(K$3,'Fund Management'!$A:$A,'Fund Management'!$E:$E))</f>
        <v>2.8717946713261857</v>
      </c>
      <c r="L80" s="33">
        <f>K80+(L50/_xlfn.XLOOKUP(L$3,'Fund Management'!$A:$A,'Fund Management'!$E:$E))</f>
        <v>2.8717946713261857</v>
      </c>
      <c r="M80" s="33">
        <f>L80+(M50/_xlfn.XLOOKUP(M$3,'Fund Management'!$A:$A,'Fund Management'!$E:$E))</f>
        <v>2.8717946713261857</v>
      </c>
      <c r="N80" s="33">
        <f>M80+(N50/_xlfn.XLOOKUP(N$3,'Fund Management'!$A:$A,'Fund Management'!$E:$E))</f>
        <v>2.8717946713261857</v>
      </c>
      <c r="O80" s="33">
        <f>N80+(O50/_xlfn.XLOOKUP(O$3,'Fund Management'!$A:$A,'Fund Management'!$E:$E))</f>
        <v>2.8717946713261857</v>
      </c>
      <c r="P80" s="33">
        <f>O80+(P50/_xlfn.XLOOKUP(P$3,'Fund Management'!$A:$A,'Fund Management'!$E:$E))</f>
        <v>-0.2083767175920519</v>
      </c>
      <c r="Q80" s="33">
        <f>P80+(Q50/_xlfn.XLOOKUP(Q$3,'Fund Management'!$A:$A,'Fund Management'!$E:$E))</f>
        <v>-0.2083767175920519</v>
      </c>
      <c r="R80" s="33">
        <f>Q80+(R50/_xlfn.XLOOKUP(R$3,'Fund Management'!$A:$A,'Fund Management'!$E:$E))</f>
        <v>-0.2083767175920519</v>
      </c>
      <c r="S80" s="33">
        <f>R80+(S50/_xlfn.XLOOKUP(S$3,'Fund Management'!$A:$A,'Fund Management'!$E:$E))</f>
        <v>-0.2083767175920519</v>
      </c>
      <c r="T80" s="33">
        <f>S80+(T50/_xlfn.XLOOKUP(T$3,'Fund Management'!$A:$A,'Fund Management'!$E:$E))</f>
        <v>-0.2083767175920519</v>
      </c>
      <c r="U80" s="33">
        <f>T80+(U50/_xlfn.XLOOKUP(U$3,'Fund Management'!$A:$A,'Fund Management'!$E:$E))</f>
        <v>-0.2083767175920519</v>
      </c>
      <c r="V80" s="33">
        <f>U80+(V50/_xlfn.XLOOKUP(V$3,'Fund Management'!$A:$A,'Fund Management'!$E:$E))</f>
        <v>-0.2083767175920519</v>
      </c>
      <c r="W80" s="33">
        <f>V80+(W50/_xlfn.XLOOKUP(W$3,'Fund Management'!$A:$A,'Fund Management'!$E:$E))</f>
        <v>-0.2083767175920519</v>
      </c>
      <c r="X80" s="33">
        <f>W80+(X50/_xlfn.XLOOKUP(X$3,'Fund Management'!$A:$A,'Fund Management'!$E:$E))</f>
        <v>-0.2083767175920519</v>
      </c>
      <c r="Y80" s="33">
        <f>X80+(Y50/_xlfn.XLOOKUP(Y$3,'Fund Management'!$A:$A,'Fund Management'!$E:$E))</f>
        <v>-0.2083767175920519</v>
      </c>
      <c r="Z80" s="33">
        <f>Y80+(Z50/_xlfn.XLOOKUP(Z$3,'Fund Management'!$A:$A,'Fund Management'!$E:$E))</f>
        <v>-0.2083767175920519</v>
      </c>
      <c r="AA80" s="33"/>
      <c r="AB80" s="33"/>
    </row>
    <row r="81" spans="2:28" x14ac:dyDescent="0.3">
      <c r="B81" s="25" t="s">
        <v>23</v>
      </c>
      <c r="C81" s="51" cm="1">
        <f t="array" ref="C81">LOOKUP(2,1/(D81:XFD81&lt;&gt;""),D81:XFD81)</f>
        <v>0.28863516508531362</v>
      </c>
      <c r="D81" s="33">
        <f>D51/_xlfn.XLOOKUP(D$3,'Fund Management'!A:A,'Fund Management'!E:E)</f>
        <v>0</v>
      </c>
      <c r="E81" s="33">
        <f>D81+(E51/_xlfn.XLOOKUP(E$3,'Fund Management'!$A:$A,'Fund Management'!$E:$E))</f>
        <v>4.7863244522103097</v>
      </c>
      <c r="F81" s="33">
        <f>E81+(F51/_xlfn.XLOOKUP(F$3,'Fund Management'!$A:$A,'Fund Management'!$E:$E))</f>
        <v>4.7863244522103097</v>
      </c>
      <c r="G81" s="33">
        <f>F81+(G51/_xlfn.XLOOKUP(G$3,'Fund Management'!$A:$A,'Fund Management'!$E:$E))</f>
        <v>4.7863244522103097</v>
      </c>
      <c r="H81" s="33">
        <f>G81+(H51/_xlfn.XLOOKUP(H$3,'Fund Management'!$A:$A,'Fund Management'!$E:$E))</f>
        <v>4.7863244522103097</v>
      </c>
      <c r="I81" s="33">
        <f>H81+(I51/_xlfn.XLOOKUP(I$3,'Fund Management'!$A:$A,'Fund Management'!$E:$E))</f>
        <v>4.7863244522103097</v>
      </c>
      <c r="J81" s="33">
        <f>I81+(J51/_xlfn.XLOOKUP(J$3,'Fund Management'!$A:$A,'Fund Management'!$E:$E))</f>
        <v>4.7863244522103097</v>
      </c>
      <c r="K81" s="33">
        <f>J81+(K51/_xlfn.XLOOKUP(K$3,'Fund Management'!$A:$A,'Fund Management'!$E:$E))</f>
        <v>4.7863244522103097</v>
      </c>
      <c r="L81" s="33">
        <f>K81+(L51/_xlfn.XLOOKUP(L$3,'Fund Management'!$A:$A,'Fund Management'!$E:$E))</f>
        <v>4.7863244522103097</v>
      </c>
      <c r="M81" s="33">
        <f>L81+(M51/_xlfn.XLOOKUP(M$3,'Fund Management'!$A:$A,'Fund Management'!$E:$E))</f>
        <v>4.7863244522103097</v>
      </c>
      <c r="N81" s="33">
        <f>M81+(N51/_xlfn.XLOOKUP(N$3,'Fund Management'!$A:$A,'Fund Management'!$E:$E))</f>
        <v>4.7863244522103097</v>
      </c>
      <c r="O81" s="33">
        <f>N81+(O51/_xlfn.XLOOKUP(O$3,'Fund Management'!$A:$A,'Fund Management'!$E:$E))</f>
        <v>4.7863244522103097</v>
      </c>
      <c r="P81" s="33">
        <f>O81+(P51/_xlfn.XLOOKUP(P$3,'Fund Management'!$A:$A,'Fund Management'!$E:$E))</f>
        <v>4.7863244522103097</v>
      </c>
      <c r="Q81" s="33">
        <f>P81+(Q51/_xlfn.XLOOKUP(Q$3,'Fund Management'!$A:$A,'Fund Management'!$E:$E))</f>
        <v>4.7863244522103097</v>
      </c>
      <c r="R81" s="33">
        <f>Q81+(R51/_xlfn.XLOOKUP(R$3,'Fund Management'!$A:$A,'Fund Management'!$E:$E))</f>
        <v>4.7863244522103097</v>
      </c>
      <c r="S81" s="33">
        <f>R81+(S51/_xlfn.XLOOKUP(S$3,'Fund Management'!$A:$A,'Fund Management'!$E:$E))</f>
        <v>4.7863244522103097</v>
      </c>
      <c r="T81" s="33">
        <f>S81+(T51/_xlfn.XLOOKUP(T$3,'Fund Management'!$A:$A,'Fund Management'!$E:$E))</f>
        <v>4.7863244522103097</v>
      </c>
      <c r="U81" s="33">
        <f>T81+(U51/_xlfn.XLOOKUP(U$3,'Fund Management'!$A:$A,'Fund Management'!$E:$E))</f>
        <v>4.7863244522103097</v>
      </c>
      <c r="V81" s="33">
        <f>U81+(V51/_xlfn.XLOOKUP(V$3,'Fund Management'!$A:$A,'Fund Management'!$E:$E))</f>
        <v>4.7863244522103097</v>
      </c>
      <c r="W81" s="33">
        <f>V81+(W51/_xlfn.XLOOKUP(W$3,'Fund Management'!$A:$A,'Fund Management'!$E:$E))</f>
        <v>4.7863244522103097</v>
      </c>
      <c r="X81" s="33">
        <f>W81+(X51/_xlfn.XLOOKUP(X$3,'Fund Management'!$A:$A,'Fund Management'!$E:$E))</f>
        <v>4.7863244522103097</v>
      </c>
      <c r="Y81" s="33">
        <f>X81+(Y51/_xlfn.XLOOKUP(Y$3,'Fund Management'!$A:$A,'Fund Management'!$E:$E))</f>
        <v>0.28863516508531362</v>
      </c>
      <c r="Z81" s="33">
        <f>Y81+(Z51/_xlfn.XLOOKUP(Z$3,'Fund Management'!$A:$A,'Fund Management'!$E:$E))</f>
        <v>0.28863516508531362</v>
      </c>
      <c r="AA81" s="33"/>
      <c r="AB81" s="33"/>
    </row>
    <row r="82" spans="2:28" x14ac:dyDescent="0.3">
      <c r="B82" s="25" t="s">
        <v>25</v>
      </c>
      <c r="C82" s="51" cm="1">
        <f t="array" ref="C82">LOOKUP(2,1/(D82:XFD82&lt;&gt;""),D82:XFD82)</f>
        <v>2.2016915438390017</v>
      </c>
      <c r="D82" s="33">
        <f>D52/_xlfn.XLOOKUP(D$3,'Fund Management'!A:A,'Fund Management'!E:E)</f>
        <v>0</v>
      </c>
      <c r="E82" s="33">
        <f>D82+(E52/_xlfn.XLOOKUP(E$3,'Fund Management'!$A:$A,'Fund Management'!$E:$E))</f>
        <v>2.2016915438390017</v>
      </c>
      <c r="F82" s="33">
        <f>E82+(F52/_xlfn.XLOOKUP(F$3,'Fund Management'!$A:$A,'Fund Management'!$E:$E))</f>
        <v>2.2016915438390017</v>
      </c>
      <c r="G82" s="33">
        <f>F82+(G52/_xlfn.XLOOKUP(G$3,'Fund Management'!$A:$A,'Fund Management'!$E:$E))</f>
        <v>2.2016915438390017</v>
      </c>
      <c r="H82" s="33">
        <f>G82+(H52/_xlfn.XLOOKUP(H$3,'Fund Management'!$A:$A,'Fund Management'!$E:$E))</f>
        <v>2.2016915438390017</v>
      </c>
      <c r="I82" s="33">
        <f>H82+(I52/_xlfn.XLOOKUP(I$3,'Fund Management'!$A:$A,'Fund Management'!$E:$E))</f>
        <v>2.2016915438390017</v>
      </c>
      <c r="J82" s="33">
        <f>I82+(J52/_xlfn.XLOOKUP(J$3,'Fund Management'!$A:$A,'Fund Management'!$E:$E))</f>
        <v>2.2016915438390017</v>
      </c>
      <c r="K82" s="33">
        <f>J82+(K52/_xlfn.XLOOKUP(K$3,'Fund Management'!$A:$A,'Fund Management'!$E:$E))</f>
        <v>2.2016915438390017</v>
      </c>
      <c r="L82" s="33">
        <f>K82+(L52/_xlfn.XLOOKUP(L$3,'Fund Management'!$A:$A,'Fund Management'!$E:$E))</f>
        <v>2.2016915438390017</v>
      </c>
      <c r="M82" s="33">
        <f>L82+(M52/_xlfn.XLOOKUP(M$3,'Fund Management'!$A:$A,'Fund Management'!$E:$E))</f>
        <v>2.2016915438390017</v>
      </c>
      <c r="N82" s="33">
        <f>M82+(N52/_xlfn.XLOOKUP(N$3,'Fund Management'!$A:$A,'Fund Management'!$E:$E))</f>
        <v>2.2016915438390017</v>
      </c>
      <c r="O82" s="33">
        <f>N82+(O52/_xlfn.XLOOKUP(O$3,'Fund Management'!$A:$A,'Fund Management'!$E:$E))</f>
        <v>2.2016915438390017</v>
      </c>
      <c r="P82" s="33">
        <f>O82+(P52/_xlfn.XLOOKUP(P$3,'Fund Management'!$A:$A,'Fund Management'!$E:$E))</f>
        <v>2.2016915438390017</v>
      </c>
      <c r="Q82" s="33">
        <f>P82+(Q52/_xlfn.XLOOKUP(Q$3,'Fund Management'!$A:$A,'Fund Management'!$E:$E))</f>
        <v>2.2016915438390017</v>
      </c>
      <c r="R82" s="33">
        <f>Q82+(R52/_xlfn.XLOOKUP(R$3,'Fund Management'!$A:$A,'Fund Management'!$E:$E))</f>
        <v>2.2016915438390017</v>
      </c>
      <c r="S82" s="33">
        <f>R82+(S52/_xlfn.XLOOKUP(S$3,'Fund Management'!$A:$A,'Fund Management'!$E:$E))</f>
        <v>2.2016915438390017</v>
      </c>
      <c r="T82" s="33">
        <f>S82+(T52/_xlfn.XLOOKUP(T$3,'Fund Management'!$A:$A,'Fund Management'!$E:$E))</f>
        <v>2.2016915438390017</v>
      </c>
      <c r="U82" s="33">
        <f>T82+(U52/_xlfn.XLOOKUP(U$3,'Fund Management'!$A:$A,'Fund Management'!$E:$E))</f>
        <v>2.2016915438390017</v>
      </c>
      <c r="V82" s="33">
        <f>U82+(V52/_xlfn.XLOOKUP(V$3,'Fund Management'!$A:$A,'Fund Management'!$E:$E))</f>
        <v>2.2016915438390017</v>
      </c>
      <c r="W82" s="33">
        <f>V82+(W52/_xlfn.XLOOKUP(W$3,'Fund Management'!$A:$A,'Fund Management'!$E:$E))</f>
        <v>2.2016915438390017</v>
      </c>
      <c r="X82" s="33">
        <f>W82+(X52/_xlfn.XLOOKUP(X$3,'Fund Management'!$A:$A,'Fund Management'!$E:$E))</f>
        <v>2.2016915438390017</v>
      </c>
      <c r="Y82" s="33">
        <f>X82+(Y52/_xlfn.XLOOKUP(Y$3,'Fund Management'!$A:$A,'Fund Management'!$E:$E))</f>
        <v>2.2016915438390017</v>
      </c>
      <c r="Z82" s="33">
        <f>Y82+(Z52/_xlfn.XLOOKUP(Z$3,'Fund Management'!$A:$A,'Fund Management'!$E:$E))</f>
        <v>2.2016915438390017</v>
      </c>
      <c r="AA82" s="33"/>
      <c r="AB82" s="33"/>
    </row>
    <row r="83" spans="2:28" x14ac:dyDescent="0.3">
      <c r="B83" s="25" t="s">
        <v>26</v>
      </c>
      <c r="C83" s="51" cm="1">
        <f t="array" ref="C83">LOOKUP(2,1/(D83:XFD83&lt;&gt;""),D83:XFD83)</f>
        <v>1.4358973356630929</v>
      </c>
      <c r="D83" s="33">
        <f>D53/_xlfn.XLOOKUP(D$3,'Fund Management'!A:A,'Fund Management'!E:E)</f>
        <v>0</v>
      </c>
      <c r="E83" s="33">
        <f>D83+(E53/_xlfn.XLOOKUP(E$3,'Fund Management'!$A:$A,'Fund Management'!$E:$E))</f>
        <v>1.4358973356630929</v>
      </c>
      <c r="F83" s="33">
        <f>E83+(F53/_xlfn.XLOOKUP(F$3,'Fund Management'!$A:$A,'Fund Management'!$E:$E))</f>
        <v>1.4358973356630929</v>
      </c>
      <c r="G83" s="33">
        <f>F83+(G53/_xlfn.XLOOKUP(G$3,'Fund Management'!$A:$A,'Fund Management'!$E:$E))</f>
        <v>1.4358973356630929</v>
      </c>
      <c r="H83" s="33">
        <f>G83+(H53/_xlfn.XLOOKUP(H$3,'Fund Management'!$A:$A,'Fund Management'!$E:$E))</f>
        <v>1.4358973356630929</v>
      </c>
      <c r="I83" s="33">
        <f>H83+(I53/_xlfn.XLOOKUP(I$3,'Fund Management'!$A:$A,'Fund Management'!$E:$E))</f>
        <v>1.4358973356630929</v>
      </c>
      <c r="J83" s="33">
        <f>I83+(J53/_xlfn.XLOOKUP(J$3,'Fund Management'!$A:$A,'Fund Management'!$E:$E))</f>
        <v>1.4358973356630929</v>
      </c>
      <c r="K83" s="33">
        <f>J83+(K53/_xlfn.XLOOKUP(K$3,'Fund Management'!$A:$A,'Fund Management'!$E:$E))</f>
        <v>1.4358973356630929</v>
      </c>
      <c r="L83" s="33">
        <f>K83+(L53/_xlfn.XLOOKUP(L$3,'Fund Management'!$A:$A,'Fund Management'!$E:$E))</f>
        <v>1.4358973356630929</v>
      </c>
      <c r="M83" s="33">
        <f>L83+(M53/_xlfn.XLOOKUP(M$3,'Fund Management'!$A:$A,'Fund Management'!$E:$E))</f>
        <v>1.4358973356630929</v>
      </c>
      <c r="N83" s="33">
        <f>M83+(N53/_xlfn.XLOOKUP(N$3,'Fund Management'!$A:$A,'Fund Management'!$E:$E))</f>
        <v>1.4358973356630929</v>
      </c>
      <c r="O83" s="33">
        <f>N83+(O53/_xlfn.XLOOKUP(O$3,'Fund Management'!$A:$A,'Fund Management'!$E:$E))</f>
        <v>1.4358973356630929</v>
      </c>
      <c r="P83" s="33">
        <f>O83+(P53/_xlfn.XLOOKUP(P$3,'Fund Management'!$A:$A,'Fund Management'!$E:$E))</f>
        <v>1.4358973356630929</v>
      </c>
      <c r="Q83" s="33">
        <f>P83+(Q53/_xlfn.XLOOKUP(Q$3,'Fund Management'!$A:$A,'Fund Management'!$E:$E))</f>
        <v>1.4358973356630929</v>
      </c>
      <c r="R83" s="33">
        <f>Q83+(R53/_xlfn.XLOOKUP(R$3,'Fund Management'!$A:$A,'Fund Management'!$E:$E))</f>
        <v>1.4358973356630929</v>
      </c>
      <c r="S83" s="33">
        <f>R83+(S53/_xlfn.XLOOKUP(S$3,'Fund Management'!$A:$A,'Fund Management'!$E:$E))</f>
        <v>1.4358973356630929</v>
      </c>
      <c r="T83" s="33">
        <f>S83+(T53/_xlfn.XLOOKUP(T$3,'Fund Management'!$A:$A,'Fund Management'!$E:$E))</f>
        <v>1.4358973356630929</v>
      </c>
      <c r="U83" s="33">
        <f>T83+(U53/_xlfn.XLOOKUP(U$3,'Fund Management'!$A:$A,'Fund Management'!$E:$E))</f>
        <v>1.4358973356630929</v>
      </c>
      <c r="V83" s="33">
        <f>U83+(V53/_xlfn.XLOOKUP(V$3,'Fund Management'!$A:$A,'Fund Management'!$E:$E))</f>
        <v>1.4358973356630929</v>
      </c>
      <c r="W83" s="33">
        <f>V83+(W53/_xlfn.XLOOKUP(W$3,'Fund Management'!$A:$A,'Fund Management'!$E:$E))</f>
        <v>1.4358973356630929</v>
      </c>
      <c r="X83" s="33">
        <f>W83+(X53/_xlfn.XLOOKUP(X$3,'Fund Management'!$A:$A,'Fund Management'!$E:$E))</f>
        <v>1.4358973356630929</v>
      </c>
      <c r="Y83" s="33">
        <f>X83+(Y53/_xlfn.XLOOKUP(Y$3,'Fund Management'!$A:$A,'Fund Management'!$E:$E))</f>
        <v>1.4358973356630929</v>
      </c>
      <c r="Z83" s="33">
        <f>Y83+(Z53/_xlfn.XLOOKUP(Z$3,'Fund Management'!$A:$A,'Fund Management'!$E:$E))</f>
        <v>1.4358973356630929</v>
      </c>
      <c r="AA83" s="33"/>
      <c r="AB83" s="33"/>
    </row>
    <row r="84" spans="2:28" x14ac:dyDescent="0.3">
      <c r="B84" s="25" t="s">
        <v>27</v>
      </c>
      <c r="C84" s="51" cm="1">
        <f t="array" ref="C84">LOOKUP(2,1/(D84:XFD84&lt;&gt;""),D84:XFD84)</f>
        <v>1.9145297808841237</v>
      </c>
      <c r="D84" s="33">
        <f>D54/_xlfn.XLOOKUP(D$3,'Fund Management'!A:A,'Fund Management'!E:E)</f>
        <v>0</v>
      </c>
      <c r="E84" s="33">
        <f>D84+(E54/_xlfn.XLOOKUP(E$3,'Fund Management'!$A:$A,'Fund Management'!$E:$E))</f>
        <v>1.9145297808841237</v>
      </c>
      <c r="F84" s="33">
        <f>E84+(F54/_xlfn.XLOOKUP(F$3,'Fund Management'!$A:$A,'Fund Management'!$E:$E))</f>
        <v>1.9145297808841237</v>
      </c>
      <c r="G84" s="33">
        <f>F84+(G54/_xlfn.XLOOKUP(G$3,'Fund Management'!$A:$A,'Fund Management'!$E:$E))</f>
        <v>1.9145297808841237</v>
      </c>
      <c r="H84" s="33">
        <f>G84+(H54/_xlfn.XLOOKUP(H$3,'Fund Management'!$A:$A,'Fund Management'!$E:$E))</f>
        <v>1.9145297808841237</v>
      </c>
      <c r="I84" s="33">
        <f>H84+(I54/_xlfn.XLOOKUP(I$3,'Fund Management'!$A:$A,'Fund Management'!$E:$E))</f>
        <v>1.9145297808841237</v>
      </c>
      <c r="J84" s="33">
        <f>I84+(J54/_xlfn.XLOOKUP(J$3,'Fund Management'!$A:$A,'Fund Management'!$E:$E))</f>
        <v>1.9145297808841237</v>
      </c>
      <c r="K84" s="33">
        <f>J84+(K54/_xlfn.XLOOKUP(K$3,'Fund Management'!$A:$A,'Fund Management'!$E:$E))</f>
        <v>1.9145297808841237</v>
      </c>
      <c r="L84" s="33">
        <f>K84+(L54/_xlfn.XLOOKUP(L$3,'Fund Management'!$A:$A,'Fund Management'!$E:$E))</f>
        <v>1.9145297808841237</v>
      </c>
      <c r="M84" s="33">
        <f>L84+(M54/_xlfn.XLOOKUP(M$3,'Fund Management'!$A:$A,'Fund Management'!$E:$E))</f>
        <v>1.9145297808841237</v>
      </c>
      <c r="N84" s="33">
        <f>M84+(N54/_xlfn.XLOOKUP(N$3,'Fund Management'!$A:$A,'Fund Management'!$E:$E))</f>
        <v>1.9145297808841237</v>
      </c>
      <c r="O84" s="33">
        <f>N84+(O54/_xlfn.XLOOKUP(O$3,'Fund Management'!$A:$A,'Fund Management'!$E:$E))</f>
        <v>1.9145297808841237</v>
      </c>
      <c r="P84" s="33">
        <f>O84+(P54/_xlfn.XLOOKUP(P$3,'Fund Management'!$A:$A,'Fund Management'!$E:$E))</f>
        <v>1.9145297808841237</v>
      </c>
      <c r="Q84" s="33">
        <f>P84+(Q54/_xlfn.XLOOKUP(Q$3,'Fund Management'!$A:$A,'Fund Management'!$E:$E))</f>
        <v>1.9145297808841237</v>
      </c>
      <c r="R84" s="33">
        <f>Q84+(R54/_xlfn.XLOOKUP(R$3,'Fund Management'!$A:$A,'Fund Management'!$E:$E))</f>
        <v>1.9145297808841237</v>
      </c>
      <c r="S84" s="33">
        <f>R84+(S54/_xlfn.XLOOKUP(S$3,'Fund Management'!$A:$A,'Fund Management'!$E:$E))</f>
        <v>1.9145297808841237</v>
      </c>
      <c r="T84" s="33">
        <f>S84+(T54/_xlfn.XLOOKUP(T$3,'Fund Management'!$A:$A,'Fund Management'!$E:$E))</f>
        <v>1.9145297808841237</v>
      </c>
      <c r="U84" s="33">
        <f>T84+(U54/_xlfn.XLOOKUP(U$3,'Fund Management'!$A:$A,'Fund Management'!$E:$E))</f>
        <v>1.9145297808841237</v>
      </c>
      <c r="V84" s="33">
        <f>U84+(V54/_xlfn.XLOOKUP(V$3,'Fund Management'!$A:$A,'Fund Management'!$E:$E))</f>
        <v>1.9145297808841237</v>
      </c>
      <c r="W84" s="33">
        <f>V84+(W54/_xlfn.XLOOKUP(W$3,'Fund Management'!$A:$A,'Fund Management'!$E:$E))</f>
        <v>1.9145297808841237</v>
      </c>
      <c r="X84" s="33">
        <f>W84+(X54/_xlfn.XLOOKUP(X$3,'Fund Management'!$A:$A,'Fund Management'!$E:$E))</f>
        <v>1.9145297808841237</v>
      </c>
      <c r="Y84" s="33">
        <f>X84+(Y54/_xlfn.XLOOKUP(Y$3,'Fund Management'!$A:$A,'Fund Management'!$E:$E))</f>
        <v>1.9145297808841237</v>
      </c>
      <c r="Z84" s="33">
        <f>Y84+(Z54/_xlfn.XLOOKUP(Z$3,'Fund Management'!$A:$A,'Fund Management'!$E:$E))</f>
        <v>1.9145297808841237</v>
      </c>
      <c r="AA84" s="33"/>
      <c r="AB84" s="33"/>
    </row>
    <row r="85" spans="2:28" x14ac:dyDescent="0.3">
      <c r="B85" s="25" t="s">
        <v>28</v>
      </c>
      <c r="C85" s="51" cm="1">
        <f t="array" ref="C85">LOOKUP(2,1/(D85:XFD85&lt;&gt;""),D85:XFD85)</f>
        <v>1.9145297808841237</v>
      </c>
      <c r="D85" s="33">
        <f>D55/_xlfn.XLOOKUP(D$3,'Fund Management'!A:A,'Fund Management'!E:E)</f>
        <v>0</v>
      </c>
      <c r="E85" s="33">
        <f>D85+(E55/_xlfn.XLOOKUP(E$3,'Fund Management'!$A:$A,'Fund Management'!$E:$E))</f>
        <v>1.9145297808841237</v>
      </c>
      <c r="F85" s="33">
        <f>E85+(F55/_xlfn.XLOOKUP(F$3,'Fund Management'!$A:$A,'Fund Management'!$E:$E))</f>
        <v>1.9145297808841237</v>
      </c>
      <c r="G85" s="33">
        <f>F85+(G55/_xlfn.XLOOKUP(G$3,'Fund Management'!$A:$A,'Fund Management'!$E:$E))</f>
        <v>1.9145297808841237</v>
      </c>
      <c r="H85" s="33">
        <f>G85+(H55/_xlfn.XLOOKUP(H$3,'Fund Management'!$A:$A,'Fund Management'!$E:$E))</f>
        <v>1.9145297808841237</v>
      </c>
      <c r="I85" s="33">
        <f>H85+(I55/_xlfn.XLOOKUP(I$3,'Fund Management'!$A:$A,'Fund Management'!$E:$E))</f>
        <v>1.9145297808841237</v>
      </c>
      <c r="J85" s="33">
        <f>I85+(J55/_xlfn.XLOOKUP(J$3,'Fund Management'!$A:$A,'Fund Management'!$E:$E))</f>
        <v>1.9145297808841237</v>
      </c>
      <c r="K85" s="33">
        <f>J85+(K55/_xlfn.XLOOKUP(K$3,'Fund Management'!$A:$A,'Fund Management'!$E:$E))</f>
        <v>1.9145297808841237</v>
      </c>
      <c r="L85" s="33">
        <f>K85+(L55/_xlfn.XLOOKUP(L$3,'Fund Management'!$A:$A,'Fund Management'!$E:$E))</f>
        <v>1.9145297808841237</v>
      </c>
      <c r="M85" s="33">
        <f>L85+(M55/_xlfn.XLOOKUP(M$3,'Fund Management'!$A:$A,'Fund Management'!$E:$E))</f>
        <v>1.9145297808841237</v>
      </c>
      <c r="N85" s="33">
        <f>M85+(N55/_xlfn.XLOOKUP(N$3,'Fund Management'!$A:$A,'Fund Management'!$E:$E))</f>
        <v>1.9145297808841237</v>
      </c>
      <c r="O85" s="33">
        <f>N85+(O55/_xlfn.XLOOKUP(O$3,'Fund Management'!$A:$A,'Fund Management'!$E:$E))</f>
        <v>1.9145297808841237</v>
      </c>
      <c r="P85" s="33">
        <f>O85+(P55/_xlfn.XLOOKUP(P$3,'Fund Management'!$A:$A,'Fund Management'!$E:$E))</f>
        <v>1.9145297808841237</v>
      </c>
      <c r="Q85" s="33">
        <f>P85+(Q55/_xlfn.XLOOKUP(Q$3,'Fund Management'!$A:$A,'Fund Management'!$E:$E))</f>
        <v>1.9145297808841237</v>
      </c>
      <c r="R85" s="33">
        <f>Q85+(R55/_xlfn.XLOOKUP(R$3,'Fund Management'!$A:$A,'Fund Management'!$E:$E))</f>
        <v>1.9145297808841237</v>
      </c>
      <c r="S85" s="33">
        <f>R85+(S55/_xlfn.XLOOKUP(S$3,'Fund Management'!$A:$A,'Fund Management'!$E:$E))</f>
        <v>1.9145297808841237</v>
      </c>
      <c r="T85" s="33">
        <f>S85+(T55/_xlfn.XLOOKUP(T$3,'Fund Management'!$A:$A,'Fund Management'!$E:$E))</f>
        <v>1.9145297808841237</v>
      </c>
      <c r="U85" s="33">
        <f>T85+(U55/_xlfn.XLOOKUP(U$3,'Fund Management'!$A:$A,'Fund Management'!$E:$E))</f>
        <v>1.9145297808841237</v>
      </c>
      <c r="V85" s="33">
        <f>U85+(V55/_xlfn.XLOOKUP(V$3,'Fund Management'!$A:$A,'Fund Management'!$E:$E))</f>
        <v>1.9145297808841237</v>
      </c>
      <c r="W85" s="33">
        <f>V85+(W55/_xlfn.XLOOKUP(W$3,'Fund Management'!$A:$A,'Fund Management'!$E:$E))</f>
        <v>1.9145297808841237</v>
      </c>
      <c r="X85" s="33">
        <f>W85+(X55/_xlfn.XLOOKUP(X$3,'Fund Management'!$A:$A,'Fund Management'!$E:$E))</f>
        <v>1.9145297808841237</v>
      </c>
      <c r="Y85" s="33">
        <f>X85+(Y55/_xlfn.XLOOKUP(Y$3,'Fund Management'!$A:$A,'Fund Management'!$E:$E))</f>
        <v>1.9145297808841237</v>
      </c>
      <c r="Z85" s="33">
        <f>Y85+(Z55/_xlfn.XLOOKUP(Z$3,'Fund Management'!$A:$A,'Fund Management'!$E:$E))</f>
        <v>1.9145297808841237</v>
      </c>
      <c r="AA85" s="33"/>
      <c r="AB85" s="33"/>
    </row>
    <row r="86" spans="2:28" x14ac:dyDescent="0.3">
      <c r="B86" s="25" t="s">
        <v>29</v>
      </c>
      <c r="C86" s="51" cm="1">
        <f t="array" ref="C86">LOOKUP(2,1/(D86:XFD86&lt;&gt;""),D86:XFD86)</f>
        <v>0.95726489044206187</v>
      </c>
      <c r="D86" s="33">
        <f>D56/_xlfn.XLOOKUP(D$3,'Fund Management'!A:A,'Fund Management'!E:E)</f>
        <v>0</v>
      </c>
      <c r="E86" s="33">
        <f>D86+(E56/_xlfn.XLOOKUP(E$3,'Fund Management'!$A:$A,'Fund Management'!$E:$E))</f>
        <v>0.95726489044206187</v>
      </c>
      <c r="F86" s="33">
        <f>E86+(F56/_xlfn.XLOOKUP(F$3,'Fund Management'!$A:$A,'Fund Management'!$E:$E))</f>
        <v>0.95726489044206187</v>
      </c>
      <c r="G86" s="33">
        <f>F86+(G56/_xlfn.XLOOKUP(G$3,'Fund Management'!$A:$A,'Fund Management'!$E:$E))</f>
        <v>0.95726489044206187</v>
      </c>
      <c r="H86" s="33">
        <f>G86+(H56/_xlfn.XLOOKUP(H$3,'Fund Management'!$A:$A,'Fund Management'!$E:$E))</f>
        <v>0.95726489044206187</v>
      </c>
      <c r="I86" s="33">
        <f>H86+(I56/_xlfn.XLOOKUP(I$3,'Fund Management'!$A:$A,'Fund Management'!$E:$E))</f>
        <v>0.95726489044206187</v>
      </c>
      <c r="J86" s="33">
        <f>I86+(J56/_xlfn.XLOOKUP(J$3,'Fund Management'!$A:$A,'Fund Management'!$E:$E))</f>
        <v>0.95726489044206187</v>
      </c>
      <c r="K86" s="33">
        <f>J86+(K56/_xlfn.XLOOKUP(K$3,'Fund Management'!$A:$A,'Fund Management'!$E:$E))</f>
        <v>0.95726489044206187</v>
      </c>
      <c r="L86" s="33">
        <f>K86+(L56/_xlfn.XLOOKUP(L$3,'Fund Management'!$A:$A,'Fund Management'!$E:$E))</f>
        <v>0.95726489044206187</v>
      </c>
      <c r="M86" s="33">
        <f>L86+(M56/_xlfn.XLOOKUP(M$3,'Fund Management'!$A:$A,'Fund Management'!$E:$E))</f>
        <v>0.95726489044206187</v>
      </c>
      <c r="N86" s="33">
        <f>M86+(N56/_xlfn.XLOOKUP(N$3,'Fund Management'!$A:$A,'Fund Management'!$E:$E))</f>
        <v>0.95726489044206187</v>
      </c>
      <c r="O86" s="33">
        <f>N86+(O56/_xlfn.XLOOKUP(O$3,'Fund Management'!$A:$A,'Fund Management'!$E:$E))</f>
        <v>0.95726489044206187</v>
      </c>
      <c r="P86" s="33">
        <f>O86+(P56/_xlfn.XLOOKUP(P$3,'Fund Management'!$A:$A,'Fund Management'!$E:$E))</f>
        <v>0.95726489044206187</v>
      </c>
      <c r="Q86" s="33">
        <f>P86+(Q56/_xlfn.XLOOKUP(Q$3,'Fund Management'!$A:$A,'Fund Management'!$E:$E))</f>
        <v>0.95726489044206187</v>
      </c>
      <c r="R86" s="33">
        <f>Q86+(R56/_xlfn.XLOOKUP(R$3,'Fund Management'!$A:$A,'Fund Management'!$E:$E))</f>
        <v>0.95726489044206187</v>
      </c>
      <c r="S86" s="33">
        <f>R86+(S56/_xlfn.XLOOKUP(S$3,'Fund Management'!$A:$A,'Fund Management'!$E:$E))</f>
        <v>0.95726489044206187</v>
      </c>
      <c r="T86" s="33">
        <f>S86+(T56/_xlfn.XLOOKUP(T$3,'Fund Management'!$A:$A,'Fund Management'!$E:$E))</f>
        <v>0.95726489044206187</v>
      </c>
      <c r="U86" s="33">
        <f>T86+(U56/_xlfn.XLOOKUP(U$3,'Fund Management'!$A:$A,'Fund Management'!$E:$E))</f>
        <v>0.95726489044206187</v>
      </c>
      <c r="V86" s="33">
        <f>U86+(V56/_xlfn.XLOOKUP(V$3,'Fund Management'!$A:$A,'Fund Management'!$E:$E))</f>
        <v>0.95726489044206187</v>
      </c>
      <c r="W86" s="33">
        <f>V86+(W56/_xlfn.XLOOKUP(W$3,'Fund Management'!$A:$A,'Fund Management'!$E:$E))</f>
        <v>0.95726489044206187</v>
      </c>
      <c r="X86" s="33">
        <f>W86+(X56/_xlfn.XLOOKUP(X$3,'Fund Management'!$A:$A,'Fund Management'!$E:$E))</f>
        <v>0.95726489044206187</v>
      </c>
      <c r="Y86" s="33">
        <f>X86+(Y56/_xlfn.XLOOKUP(Y$3,'Fund Management'!$A:$A,'Fund Management'!$E:$E))</f>
        <v>0.95726489044206187</v>
      </c>
      <c r="Z86" s="33">
        <f>Y86+(Z56/_xlfn.XLOOKUP(Z$3,'Fund Management'!$A:$A,'Fund Management'!$E:$E))</f>
        <v>0.95726489044206187</v>
      </c>
      <c r="AA86" s="33"/>
      <c r="AB86" s="33"/>
    </row>
    <row r="87" spans="2:28" x14ac:dyDescent="0.3">
      <c r="B87" s="23" t="s">
        <v>30</v>
      </c>
      <c r="C87" s="51" cm="1">
        <f t="array" ref="C87">LOOKUP(2,1/(D87:XFD87&lt;&gt;""),D87:XFD87)</f>
        <v>18.934101159143566</v>
      </c>
      <c r="D87" s="33">
        <f>D57/_xlfn.XLOOKUP(D$3,'Fund Management'!A:A,'Fund Management'!E:E)</f>
        <v>0</v>
      </c>
      <c r="E87" s="33">
        <f>D87+(E57/_xlfn.XLOOKUP(E$3,'Fund Management'!$A:$A,'Fund Management'!$E:$E))</f>
        <v>0</v>
      </c>
      <c r="F87" s="33">
        <f>E87+(F57/_xlfn.XLOOKUP(F$3,'Fund Management'!$A:$A,'Fund Management'!$E:$E))</f>
        <v>18.934101159143566</v>
      </c>
      <c r="G87" s="33">
        <f>F87+(G57/_xlfn.XLOOKUP(G$3,'Fund Management'!$A:$A,'Fund Management'!$E:$E))</f>
        <v>18.934101159143566</v>
      </c>
      <c r="H87" s="33">
        <f>G87+(H57/_xlfn.XLOOKUP(H$3,'Fund Management'!$A:$A,'Fund Management'!$E:$E))</f>
        <v>18.934101159143566</v>
      </c>
      <c r="I87" s="33">
        <f>H87+(I57/_xlfn.XLOOKUP(I$3,'Fund Management'!$A:$A,'Fund Management'!$E:$E))</f>
        <v>18.934101159143566</v>
      </c>
      <c r="J87" s="33">
        <f>I87+(J57/_xlfn.XLOOKUP(J$3,'Fund Management'!$A:$A,'Fund Management'!$E:$E))</f>
        <v>18.934101159143566</v>
      </c>
      <c r="K87" s="33">
        <f>J87+(K57/_xlfn.XLOOKUP(K$3,'Fund Management'!$A:$A,'Fund Management'!$E:$E))</f>
        <v>18.934101159143566</v>
      </c>
      <c r="L87" s="33">
        <f>K87+(L57/_xlfn.XLOOKUP(L$3,'Fund Management'!$A:$A,'Fund Management'!$E:$E))</f>
        <v>18.934101159143566</v>
      </c>
      <c r="M87" s="33">
        <f>L87+(M57/_xlfn.XLOOKUP(M$3,'Fund Management'!$A:$A,'Fund Management'!$E:$E))</f>
        <v>18.934101159143566</v>
      </c>
      <c r="N87" s="33">
        <f>M87+(N57/_xlfn.XLOOKUP(N$3,'Fund Management'!$A:$A,'Fund Management'!$E:$E))</f>
        <v>18.934101159143566</v>
      </c>
      <c r="O87" s="33">
        <f>N87+(O57/_xlfn.XLOOKUP(O$3,'Fund Management'!$A:$A,'Fund Management'!$E:$E))</f>
        <v>18.934101159143566</v>
      </c>
      <c r="P87" s="33">
        <f>O87+(P57/_xlfn.XLOOKUP(P$3,'Fund Management'!$A:$A,'Fund Management'!$E:$E))</f>
        <v>18.934101159143566</v>
      </c>
      <c r="Q87" s="33">
        <f>P87+(Q57/_xlfn.XLOOKUP(Q$3,'Fund Management'!$A:$A,'Fund Management'!$E:$E))</f>
        <v>18.934101159143566</v>
      </c>
      <c r="R87" s="33">
        <f>Q87+(R57/_xlfn.XLOOKUP(R$3,'Fund Management'!$A:$A,'Fund Management'!$E:$E))</f>
        <v>18.934101159143566</v>
      </c>
      <c r="S87" s="33">
        <f>R87+(S57/_xlfn.XLOOKUP(S$3,'Fund Management'!$A:$A,'Fund Management'!$E:$E))</f>
        <v>18.934101159143566</v>
      </c>
      <c r="T87" s="33">
        <f>S87+(T57/_xlfn.XLOOKUP(T$3,'Fund Management'!$A:$A,'Fund Management'!$E:$E))</f>
        <v>18.934101159143566</v>
      </c>
      <c r="U87" s="33">
        <f>T87+(U57/_xlfn.XLOOKUP(U$3,'Fund Management'!$A:$A,'Fund Management'!$E:$E))</f>
        <v>18.934101159143566</v>
      </c>
      <c r="V87" s="33">
        <f>U87+(V57/_xlfn.XLOOKUP(V$3,'Fund Management'!$A:$A,'Fund Management'!$E:$E))</f>
        <v>18.934101159143566</v>
      </c>
      <c r="W87" s="33">
        <f>V87+(W57/_xlfn.XLOOKUP(W$3,'Fund Management'!$A:$A,'Fund Management'!$E:$E))</f>
        <v>18.934101159143566</v>
      </c>
      <c r="X87" s="33">
        <f>W87+(X57/_xlfn.XLOOKUP(X$3,'Fund Management'!$A:$A,'Fund Management'!$E:$E))</f>
        <v>18.934101159143566</v>
      </c>
      <c r="Y87" s="33">
        <f>X87+(Y57/_xlfn.XLOOKUP(Y$3,'Fund Management'!$A:$A,'Fund Management'!$E:$E))</f>
        <v>18.934101159143566</v>
      </c>
      <c r="Z87" s="33">
        <f>Y87+(Z57/_xlfn.XLOOKUP(Z$3,'Fund Management'!$A:$A,'Fund Management'!$E:$E))</f>
        <v>18.934101159143566</v>
      </c>
      <c r="AA87" s="33"/>
      <c r="AB87" s="33"/>
    </row>
    <row r="88" spans="2:28" x14ac:dyDescent="0.3">
      <c r="B88" s="23" t="s">
        <v>31</v>
      </c>
      <c r="C88" s="51" cm="1">
        <f t="array" ref="C88">LOOKUP(2,1/(D88:XFD88&lt;&gt;""),D88:XFD88)</f>
        <v>61.176075592043553</v>
      </c>
      <c r="D88" s="33">
        <f>D58/_xlfn.XLOOKUP(D$3,'Fund Management'!A:A,'Fund Management'!E:E)</f>
        <v>0</v>
      </c>
      <c r="E88" s="33">
        <f>D88+(E58/_xlfn.XLOOKUP(E$3,'Fund Management'!$A:$A,'Fund Management'!$E:$E))</f>
        <v>0</v>
      </c>
      <c r="F88" s="33">
        <f>E88+(F58/_xlfn.XLOOKUP(F$3,'Fund Management'!$A:$A,'Fund Management'!$E:$E))</f>
        <v>61.176075592043553</v>
      </c>
      <c r="G88" s="33">
        <f>F88+(G58/_xlfn.XLOOKUP(G$3,'Fund Management'!$A:$A,'Fund Management'!$E:$E))</f>
        <v>61.176075592043553</v>
      </c>
      <c r="H88" s="33">
        <f>G88+(H58/_xlfn.XLOOKUP(H$3,'Fund Management'!$A:$A,'Fund Management'!$E:$E))</f>
        <v>61.176075592043553</v>
      </c>
      <c r="I88" s="33">
        <f>H88+(I58/_xlfn.XLOOKUP(I$3,'Fund Management'!$A:$A,'Fund Management'!$E:$E))</f>
        <v>61.176075592043553</v>
      </c>
      <c r="J88" s="33">
        <f>I88+(J58/_xlfn.XLOOKUP(J$3,'Fund Management'!$A:$A,'Fund Management'!$E:$E))</f>
        <v>61.176075592043553</v>
      </c>
      <c r="K88" s="33">
        <f>J88+(K58/_xlfn.XLOOKUP(K$3,'Fund Management'!$A:$A,'Fund Management'!$E:$E))</f>
        <v>61.176075592043553</v>
      </c>
      <c r="L88" s="33">
        <f>K88+(L58/_xlfn.XLOOKUP(L$3,'Fund Management'!$A:$A,'Fund Management'!$E:$E))</f>
        <v>61.176075592043553</v>
      </c>
      <c r="M88" s="33">
        <f>L88+(M58/_xlfn.XLOOKUP(M$3,'Fund Management'!$A:$A,'Fund Management'!$E:$E))</f>
        <v>61.176075592043553</v>
      </c>
      <c r="N88" s="33">
        <f>M88+(N58/_xlfn.XLOOKUP(N$3,'Fund Management'!$A:$A,'Fund Management'!$E:$E))</f>
        <v>61.176075592043553</v>
      </c>
      <c r="O88" s="33">
        <f>N88+(O58/_xlfn.XLOOKUP(O$3,'Fund Management'!$A:$A,'Fund Management'!$E:$E))</f>
        <v>61.176075592043553</v>
      </c>
      <c r="P88" s="33">
        <f>O88+(P58/_xlfn.XLOOKUP(P$3,'Fund Management'!$A:$A,'Fund Management'!$E:$E))</f>
        <v>61.176075592043553</v>
      </c>
      <c r="Q88" s="33">
        <f>P88+(Q58/_xlfn.XLOOKUP(Q$3,'Fund Management'!$A:$A,'Fund Management'!$E:$E))</f>
        <v>61.176075592043553</v>
      </c>
      <c r="R88" s="33">
        <f>Q88+(R58/_xlfn.XLOOKUP(R$3,'Fund Management'!$A:$A,'Fund Management'!$E:$E))</f>
        <v>61.176075592043553</v>
      </c>
      <c r="S88" s="33">
        <f>R88+(S58/_xlfn.XLOOKUP(S$3,'Fund Management'!$A:$A,'Fund Management'!$E:$E))</f>
        <v>61.176075592043553</v>
      </c>
      <c r="T88" s="33">
        <f>S88+(T58/_xlfn.XLOOKUP(T$3,'Fund Management'!$A:$A,'Fund Management'!$E:$E))</f>
        <v>61.176075592043553</v>
      </c>
      <c r="U88" s="33">
        <f>T88+(U58/_xlfn.XLOOKUP(U$3,'Fund Management'!$A:$A,'Fund Management'!$E:$E))</f>
        <v>61.176075592043553</v>
      </c>
      <c r="V88" s="33">
        <f>U88+(V58/_xlfn.XLOOKUP(V$3,'Fund Management'!$A:$A,'Fund Management'!$E:$E))</f>
        <v>61.176075592043553</v>
      </c>
      <c r="W88" s="33">
        <f>V88+(W58/_xlfn.XLOOKUP(W$3,'Fund Management'!$A:$A,'Fund Management'!$E:$E))</f>
        <v>61.176075592043553</v>
      </c>
      <c r="X88" s="33">
        <f>W88+(X58/_xlfn.XLOOKUP(X$3,'Fund Management'!$A:$A,'Fund Management'!$E:$E))</f>
        <v>61.176075592043553</v>
      </c>
      <c r="Y88" s="33">
        <f>X88+(Y58/_xlfn.XLOOKUP(Y$3,'Fund Management'!$A:$A,'Fund Management'!$E:$E))</f>
        <v>61.176075592043553</v>
      </c>
      <c r="Z88" s="33">
        <f>Y88+(Z58/_xlfn.XLOOKUP(Z$3,'Fund Management'!$A:$A,'Fund Management'!$E:$E))</f>
        <v>61.176075592043553</v>
      </c>
      <c r="AA88" s="33"/>
      <c r="AB88" s="33"/>
    </row>
    <row r="89" spans="2:28" x14ac:dyDescent="0.3">
      <c r="B89" s="23" t="s">
        <v>32</v>
      </c>
      <c r="C89" s="51" cm="1">
        <f t="array" ref="C89">LOOKUP(2,1/(D89:XFD89&lt;&gt;""),D89:XFD89)</f>
        <v>1.8934101159143566</v>
      </c>
      <c r="D89" s="33">
        <f>D59/_xlfn.XLOOKUP(D$3,'Fund Management'!A:A,'Fund Management'!E:E)</f>
        <v>0</v>
      </c>
      <c r="E89" s="33">
        <f>D89+(E59/_xlfn.XLOOKUP(E$3,'Fund Management'!$A:$A,'Fund Management'!$E:$E))</f>
        <v>0</v>
      </c>
      <c r="F89" s="33">
        <f>E89+(F59/_xlfn.XLOOKUP(F$3,'Fund Management'!$A:$A,'Fund Management'!$E:$E))</f>
        <v>1.8934101159143566</v>
      </c>
      <c r="G89" s="33">
        <f>F89+(G59/_xlfn.XLOOKUP(G$3,'Fund Management'!$A:$A,'Fund Management'!$E:$E))</f>
        <v>1.8934101159143566</v>
      </c>
      <c r="H89" s="33">
        <f>G89+(H59/_xlfn.XLOOKUP(H$3,'Fund Management'!$A:$A,'Fund Management'!$E:$E))</f>
        <v>1.8934101159143566</v>
      </c>
      <c r="I89" s="33">
        <f>H89+(I59/_xlfn.XLOOKUP(I$3,'Fund Management'!$A:$A,'Fund Management'!$E:$E))</f>
        <v>1.8934101159143566</v>
      </c>
      <c r="J89" s="33">
        <f>I89+(J59/_xlfn.XLOOKUP(J$3,'Fund Management'!$A:$A,'Fund Management'!$E:$E))</f>
        <v>1.8934101159143566</v>
      </c>
      <c r="K89" s="33">
        <f>J89+(K59/_xlfn.XLOOKUP(K$3,'Fund Management'!$A:$A,'Fund Management'!$E:$E))</f>
        <v>1.8934101159143566</v>
      </c>
      <c r="L89" s="33">
        <f>K89+(L59/_xlfn.XLOOKUP(L$3,'Fund Management'!$A:$A,'Fund Management'!$E:$E))</f>
        <v>1.8934101159143566</v>
      </c>
      <c r="M89" s="33">
        <f>L89+(M59/_xlfn.XLOOKUP(M$3,'Fund Management'!$A:$A,'Fund Management'!$E:$E))</f>
        <v>1.8934101159143566</v>
      </c>
      <c r="N89" s="33">
        <f>M89+(N59/_xlfn.XLOOKUP(N$3,'Fund Management'!$A:$A,'Fund Management'!$E:$E))</f>
        <v>1.8934101159143566</v>
      </c>
      <c r="O89" s="33">
        <f>N89+(O59/_xlfn.XLOOKUP(O$3,'Fund Management'!$A:$A,'Fund Management'!$E:$E))</f>
        <v>1.8934101159143566</v>
      </c>
      <c r="P89" s="33">
        <f>O89+(P59/_xlfn.XLOOKUP(P$3,'Fund Management'!$A:$A,'Fund Management'!$E:$E))</f>
        <v>1.8934101159143566</v>
      </c>
      <c r="Q89" s="33">
        <f>P89+(Q59/_xlfn.XLOOKUP(Q$3,'Fund Management'!$A:$A,'Fund Management'!$E:$E))</f>
        <v>1.8934101159143566</v>
      </c>
      <c r="R89" s="33">
        <f>Q89+(R59/_xlfn.XLOOKUP(R$3,'Fund Management'!$A:$A,'Fund Management'!$E:$E))</f>
        <v>1.8934101159143566</v>
      </c>
      <c r="S89" s="33">
        <f>R89+(S59/_xlfn.XLOOKUP(S$3,'Fund Management'!$A:$A,'Fund Management'!$E:$E))</f>
        <v>1.8934101159143566</v>
      </c>
      <c r="T89" s="33">
        <f>S89+(T59/_xlfn.XLOOKUP(T$3,'Fund Management'!$A:$A,'Fund Management'!$E:$E))</f>
        <v>1.8934101159143566</v>
      </c>
      <c r="U89" s="33">
        <f>T89+(U59/_xlfn.XLOOKUP(U$3,'Fund Management'!$A:$A,'Fund Management'!$E:$E))</f>
        <v>1.8934101159143566</v>
      </c>
      <c r="V89" s="33">
        <f>U89+(V59/_xlfn.XLOOKUP(V$3,'Fund Management'!$A:$A,'Fund Management'!$E:$E))</f>
        <v>1.8934101159143566</v>
      </c>
      <c r="W89" s="33">
        <f>V89+(W59/_xlfn.XLOOKUP(W$3,'Fund Management'!$A:$A,'Fund Management'!$E:$E))</f>
        <v>1.8934101159143566</v>
      </c>
      <c r="X89" s="33">
        <f>W89+(X59/_xlfn.XLOOKUP(X$3,'Fund Management'!$A:$A,'Fund Management'!$E:$E))</f>
        <v>1.8934101159143566</v>
      </c>
      <c r="Y89" s="33">
        <f>X89+(Y59/_xlfn.XLOOKUP(Y$3,'Fund Management'!$A:$A,'Fund Management'!$E:$E))</f>
        <v>1.8934101159143566</v>
      </c>
      <c r="Z89" s="33">
        <f>Y89+(Z59/_xlfn.XLOOKUP(Z$3,'Fund Management'!$A:$A,'Fund Management'!$E:$E))</f>
        <v>1.8934101159143566</v>
      </c>
      <c r="AA89" s="33"/>
      <c r="AB89" s="33"/>
    </row>
    <row r="90" spans="2:28" x14ac:dyDescent="0.3">
      <c r="B90" s="23" t="s">
        <v>5</v>
      </c>
      <c r="C90" s="51" cm="1">
        <f t="array" ref="C90">LOOKUP(2,1/(D90:XFD90&lt;&gt;""),D90:XFD90)</f>
        <v>0.38370563657853829</v>
      </c>
      <c r="D90" s="33">
        <f>D60/_xlfn.XLOOKUP(D$3,'Fund Management'!A:A,'Fund Management'!E:E)</f>
        <v>0</v>
      </c>
      <c r="E90" s="33">
        <f>D90+(E60/_xlfn.XLOOKUP(E$3,'Fund Management'!$A:$A,'Fund Management'!$E:$E))</f>
        <v>0</v>
      </c>
      <c r="F90" s="33">
        <f>E90+(F60/_xlfn.XLOOKUP(F$3,'Fund Management'!$A:$A,'Fund Management'!$E:$E))</f>
        <v>0</v>
      </c>
      <c r="G90" s="33">
        <f>F90+(G60/_xlfn.XLOOKUP(G$3,'Fund Management'!$A:$A,'Fund Management'!$E:$E))</f>
        <v>4.9949662844027412</v>
      </c>
      <c r="H90" s="33">
        <f>G90+(H60/_xlfn.XLOOKUP(H$3,'Fund Management'!$A:$A,'Fund Management'!$E:$E))</f>
        <v>4.9949662844027412</v>
      </c>
      <c r="I90" s="33">
        <f>H90+(I60/_xlfn.XLOOKUP(I$3,'Fund Management'!$A:$A,'Fund Management'!$E:$E))</f>
        <v>4.9949662844027412</v>
      </c>
      <c r="J90" s="33">
        <f>I90+(J60/_xlfn.XLOOKUP(J$3,'Fund Management'!$A:$A,'Fund Management'!$E:$E))</f>
        <v>4.9949662844027412</v>
      </c>
      <c r="K90" s="33">
        <f>J90+(K60/_xlfn.XLOOKUP(K$3,'Fund Management'!$A:$A,'Fund Management'!$E:$E))</f>
        <v>4.9949662844027412</v>
      </c>
      <c r="L90" s="33">
        <f>K90+(L60/_xlfn.XLOOKUP(L$3,'Fund Management'!$A:$A,'Fund Management'!$E:$E))</f>
        <v>4.9949662844027412</v>
      </c>
      <c r="M90" s="33">
        <f>L90+(M60/_xlfn.XLOOKUP(M$3,'Fund Management'!$A:$A,'Fund Management'!$E:$E))</f>
        <v>4.9949662844027412</v>
      </c>
      <c r="N90" s="33">
        <f>M90+(N60/_xlfn.XLOOKUP(N$3,'Fund Management'!$A:$A,'Fund Management'!$E:$E))</f>
        <v>4.9949662844027412</v>
      </c>
      <c r="O90" s="33">
        <f>N90+(O60/_xlfn.XLOOKUP(O$3,'Fund Management'!$A:$A,'Fund Management'!$E:$E))</f>
        <v>4.9949662844027412</v>
      </c>
      <c r="P90" s="33">
        <f>O90+(P60/_xlfn.XLOOKUP(P$3,'Fund Management'!$A:$A,'Fund Management'!$E:$E))</f>
        <v>4.9949662844027412</v>
      </c>
      <c r="Q90" s="33">
        <f>P90+(Q60/_xlfn.XLOOKUP(Q$3,'Fund Management'!$A:$A,'Fund Management'!$E:$E))</f>
        <v>4.9949662844027412</v>
      </c>
      <c r="R90" s="33">
        <f>Q90+(R60/_xlfn.XLOOKUP(R$3,'Fund Management'!$A:$A,'Fund Management'!$E:$E))</f>
        <v>4.9949662844027412</v>
      </c>
      <c r="S90" s="33">
        <f>R90+(S60/_xlfn.XLOOKUP(S$3,'Fund Management'!$A:$A,'Fund Management'!$E:$E))</f>
        <v>4.9949662844027412</v>
      </c>
      <c r="T90" s="33">
        <f>S90+(T60/_xlfn.XLOOKUP(T$3,'Fund Management'!$A:$A,'Fund Management'!$E:$E))</f>
        <v>4.9949662844027412</v>
      </c>
      <c r="U90" s="33">
        <f>T90+(U60/_xlfn.XLOOKUP(U$3,'Fund Management'!$A:$A,'Fund Management'!$E:$E))</f>
        <v>4.9949662844027412</v>
      </c>
      <c r="V90" s="33">
        <f>U90+(V60/_xlfn.XLOOKUP(V$3,'Fund Management'!$A:$A,'Fund Management'!$E:$E))</f>
        <v>4.9949662844027412</v>
      </c>
      <c r="W90" s="33">
        <f>V90+(W60/_xlfn.XLOOKUP(W$3,'Fund Management'!$A:$A,'Fund Management'!$E:$E))</f>
        <v>4.9949662844027412</v>
      </c>
      <c r="X90" s="33">
        <f>W90+(X60/_xlfn.XLOOKUP(X$3,'Fund Management'!$A:$A,'Fund Management'!$E:$E))</f>
        <v>4.9949662844027412</v>
      </c>
      <c r="Y90" s="33">
        <f>X90+(Y60/_xlfn.XLOOKUP(Y$3,'Fund Management'!$A:$A,'Fund Management'!$E:$E))</f>
        <v>4.9949662844027412</v>
      </c>
      <c r="Z90" s="33">
        <f>Y90+(Z60/_xlfn.XLOOKUP(Z$3,'Fund Management'!$A:$A,'Fund Management'!$E:$E))</f>
        <v>0.38370563657853829</v>
      </c>
      <c r="AA90" s="33"/>
      <c r="AB90" s="33"/>
    </row>
    <row r="91" spans="2:28" x14ac:dyDescent="0.3">
      <c r="B91" s="23" t="s">
        <v>33</v>
      </c>
      <c r="C91" s="51" cm="1">
        <f t="array" ref="C91">LOOKUP(2,1/(D91:XFD91&lt;&gt;""),D91:XFD91)</f>
        <v>20.96521656601255</v>
      </c>
      <c r="D91" s="33">
        <f>D61/_xlfn.XLOOKUP(D$3,'Fund Management'!A:A,'Fund Management'!E:E)</f>
        <v>0</v>
      </c>
      <c r="E91" s="33">
        <f>D91+(E61/_xlfn.XLOOKUP(E$3,'Fund Management'!$A:$A,'Fund Management'!$E:$E))</f>
        <v>0</v>
      </c>
      <c r="F91" s="33">
        <f>E91+(F61/_xlfn.XLOOKUP(F$3,'Fund Management'!$A:$A,'Fund Management'!$E:$E))</f>
        <v>0</v>
      </c>
      <c r="G91" s="33">
        <f>F91+(G61/_xlfn.XLOOKUP(G$3,'Fund Management'!$A:$A,'Fund Management'!$E:$E))</f>
        <v>0</v>
      </c>
      <c r="H91" s="33">
        <f>G91+(H61/_xlfn.XLOOKUP(H$3,'Fund Management'!$A:$A,'Fund Management'!$E:$E))</f>
        <v>0</v>
      </c>
      <c r="I91" s="33">
        <f>H91+(I61/_xlfn.XLOOKUP(I$3,'Fund Management'!$A:$A,'Fund Management'!$E:$E))</f>
        <v>20.96521656601255</v>
      </c>
      <c r="J91" s="33">
        <f>I91+(J61/_xlfn.XLOOKUP(J$3,'Fund Management'!$A:$A,'Fund Management'!$E:$E))</f>
        <v>20.96521656601255</v>
      </c>
      <c r="K91" s="33">
        <f>J91+(K61/_xlfn.XLOOKUP(K$3,'Fund Management'!$A:$A,'Fund Management'!$E:$E))</f>
        <v>20.96521656601255</v>
      </c>
      <c r="L91" s="33">
        <f>K91+(L61/_xlfn.XLOOKUP(L$3,'Fund Management'!$A:$A,'Fund Management'!$E:$E))</f>
        <v>20.96521656601255</v>
      </c>
      <c r="M91" s="33">
        <f>L91+(M61/_xlfn.XLOOKUP(M$3,'Fund Management'!$A:$A,'Fund Management'!$E:$E))</f>
        <v>20.96521656601255</v>
      </c>
      <c r="N91" s="33">
        <f>M91+(N61/_xlfn.XLOOKUP(N$3,'Fund Management'!$A:$A,'Fund Management'!$E:$E))</f>
        <v>20.96521656601255</v>
      </c>
      <c r="O91" s="33">
        <f>N91+(O61/_xlfn.XLOOKUP(O$3,'Fund Management'!$A:$A,'Fund Management'!$E:$E))</f>
        <v>20.96521656601255</v>
      </c>
      <c r="P91" s="33">
        <f>O91+(P61/_xlfn.XLOOKUP(P$3,'Fund Management'!$A:$A,'Fund Management'!$E:$E))</f>
        <v>20.96521656601255</v>
      </c>
      <c r="Q91" s="33">
        <f>P91+(Q61/_xlfn.XLOOKUP(Q$3,'Fund Management'!$A:$A,'Fund Management'!$E:$E))</f>
        <v>20.96521656601255</v>
      </c>
      <c r="R91" s="33">
        <f>Q91+(R61/_xlfn.XLOOKUP(R$3,'Fund Management'!$A:$A,'Fund Management'!$E:$E))</f>
        <v>20.96521656601255</v>
      </c>
      <c r="S91" s="33">
        <f>R91+(S61/_xlfn.XLOOKUP(S$3,'Fund Management'!$A:$A,'Fund Management'!$E:$E))</f>
        <v>20.96521656601255</v>
      </c>
      <c r="T91" s="33">
        <f>S91+(T61/_xlfn.XLOOKUP(T$3,'Fund Management'!$A:$A,'Fund Management'!$E:$E))</f>
        <v>20.96521656601255</v>
      </c>
      <c r="U91" s="33">
        <f>T91+(U61/_xlfn.XLOOKUP(U$3,'Fund Management'!$A:$A,'Fund Management'!$E:$E))</f>
        <v>20.96521656601255</v>
      </c>
      <c r="V91" s="33">
        <f>U91+(V61/_xlfn.XLOOKUP(V$3,'Fund Management'!$A:$A,'Fund Management'!$E:$E))</f>
        <v>20.96521656601255</v>
      </c>
      <c r="W91" s="33">
        <f>V91+(W61/_xlfn.XLOOKUP(W$3,'Fund Management'!$A:$A,'Fund Management'!$E:$E))</f>
        <v>20.96521656601255</v>
      </c>
      <c r="X91" s="33">
        <f>W91+(X61/_xlfn.XLOOKUP(X$3,'Fund Management'!$A:$A,'Fund Management'!$E:$E))</f>
        <v>20.96521656601255</v>
      </c>
      <c r="Y91" s="33">
        <f>X91+(Y61/_xlfn.XLOOKUP(Y$3,'Fund Management'!$A:$A,'Fund Management'!$E:$E))</f>
        <v>20.96521656601255</v>
      </c>
      <c r="Z91" s="33">
        <f>Y91+(Z61/_xlfn.XLOOKUP(Z$3,'Fund Management'!$A:$A,'Fund Management'!$E:$E))</f>
        <v>20.96521656601255</v>
      </c>
      <c r="AA91" s="33"/>
      <c r="AB91" s="33"/>
    </row>
    <row r="92" spans="2:28" x14ac:dyDescent="0.3">
      <c r="B92" s="23" t="s">
        <v>34</v>
      </c>
      <c r="C92" s="51" cm="1">
        <f t="array" ref="C92">LOOKUP(2,1/(D92:XFD92&lt;&gt;""),D92:XFD92)</f>
        <v>10.227426029563027</v>
      </c>
      <c r="D92" s="33">
        <f>D62/_xlfn.XLOOKUP(D$3,'Fund Management'!A:A,'Fund Management'!E:E)</f>
        <v>0</v>
      </c>
      <c r="E92" s="33">
        <f>D92+(E62/_xlfn.XLOOKUP(E$3,'Fund Management'!$A:$A,'Fund Management'!$E:$E))</f>
        <v>0</v>
      </c>
      <c r="F92" s="33">
        <f>E92+(F62/_xlfn.XLOOKUP(F$3,'Fund Management'!$A:$A,'Fund Management'!$E:$E))</f>
        <v>0</v>
      </c>
      <c r="G92" s="33">
        <f>F92+(G62/_xlfn.XLOOKUP(G$3,'Fund Management'!$A:$A,'Fund Management'!$E:$E))</f>
        <v>0</v>
      </c>
      <c r="H92" s="33">
        <f>G92+(H62/_xlfn.XLOOKUP(H$3,'Fund Management'!$A:$A,'Fund Management'!$E:$E))</f>
        <v>0</v>
      </c>
      <c r="I92" s="33">
        <f>H92+(I62/_xlfn.XLOOKUP(I$3,'Fund Management'!$A:$A,'Fund Management'!$E:$E))</f>
        <v>0</v>
      </c>
      <c r="J92" s="33">
        <f>I92+(J62/_xlfn.XLOOKUP(J$3,'Fund Management'!$A:$A,'Fund Management'!$E:$E))</f>
        <v>0</v>
      </c>
      <c r="K92" s="33">
        <f>J92+(K62/_xlfn.XLOOKUP(K$3,'Fund Management'!$A:$A,'Fund Management'!$E:$E))</f>
        <v>0</v>
      </c>
      <c r="L92" s="33">
        <f>K92+(L62/_xlfn.XLOOKUP(L$3,'Fund Management'!$A:$A,'Fund Management'!$E:$E))</f>
        <v>0</v>
      </c>
      <c r="M92" s="33">
        <f>L92+(M62/_xlfn.XLOOKUP(M$3,'Fund Management'!$A:$A,'Fund Management'!$E:$E))</f>
        <v>0</v>
      </c>
      <c r="N92" s="33">
        <f>M92+(N62/_xlfn.XLOOKUP(N$3,'Fund Management'!$A:$A,'Fund Management'!$E:$E))</f>
        <v>0</v>
      </c>
      <c r="O92" s="33">
        <f>N92+(O62/_xlfn.XLOOKUP(O$3,'Fund Management'!$A:$A,'Fund Management'!$E:$E))</f>
        <v>0</v>
      </c>
      <c r="P92" s="33">
        <f>O92+(P62/_xlfn.XLOOKUP(P$3,'Fund Management'!$A:$A,'Fund Management'!$E:$E))</f>
        <v>0</v>
      </c>
      <c r="Q92" s="33">
        <f>P92+(Q62/_xlfn.XLOOKUP(Q$3,'Fund Management'!$A:$A,'Fund Management'!$E:$E))</f>
        <v>5.1292178557336285</v>
      </c>
      <c r="R92" s="33">
        <f>Q92+(R62/_xlfn.XLOOKUP(R$3,'Fund Management'!$A:$A,'Fund Management'!$E:$E))</f>
        <v>10.227426029563027</v>
      </c>
      <c r="S92" s="33">
        <f>R92+(S62/_xlfn.XLOOKUP(S$3,'Fund Management'!$A:$A,'Fund Management'!$E:$E))</f>
        <v>10.227426029563027</v>
      </c>
      <c r="T92" s="33">
        <f>S92+(T62/_xlfn.XLOOKUP(T$3,'Fund Management'!$A:$A,'Fund Management'!$E:$E))</f>
        <v>10.227426029563027</v>
      </c>
      <c r="U92" s="33">
        <f>T92+(U62/_xlfn.XLOOKUP(U$3,'Fund Management'!$A:$A,'Fund Management'!$E:$E))</f>
        <v>10.227426029563027</v>
      </c>
      <c r="V92" s="33">
        <f>U92+(V62/_xlfn.XLOOKUP(V$3,'Fund Management'!$A:$A,'Fund Management'!$E:$E))</f>
        <v>10.227426029563027</v>
      </c>
      <c r="W92" s="33">
        <f>V92+(W62/_xlfn.XLOOKUP(W$3,'Fund Management'!$A:$A,'Fund Management'!$E:$E))</f>
        <v>10.227426029563027</v>
      </c>
      <c r="X92" s="33">
        <f>W92+(X62/_xlfn.XLOOKUP(X$3,'Fund Management'!$A:$A,'Fund Management'!$E:$E))</f>
        <v>10.227426029563027</v>
      </c>
      <c r="Y92" s="33">
        <f>X92+(Y62/_xlfn.XLOOKUP(Y$3,'Fund Management'!$A:$A,'Fund Management'!$E:$E))</f>
        <v>10.227426029563027</v>
      </c>
      <c r="Z92" s="33">
        <f>Y92+(Z62/_xlfn.XLOOKUP(Z$3,'Fund Management'!$A:$A,'Fund Management'!$E:$E))</f>
        <v>10.227426029563027</v>
      </c>
      <c r="AA92" s="33"/>
      <c r="AB92" s="33"/>
    </row>
    <row r="93" spans="2:28" x14ac:dyDescent="0.3">
      <c r="B93" s="25"/>
      <c r="C93" s="25"/>
      <c r="D93" s="33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2:28" ht="15.75" thickBot="1" x14ac:dyDescent="0.35">
      <c r="B94" s="26" t="s">
        <v>56</v>
      </c>
      <c r="C94" s="42"/>
      <c r="D94" s="43">
        <f>SUM(D67:D92)</f>
        <v>30.019399999999994</v>
      </c>
      <c r="E94" s="43">
        <f>SUM(E67:E93)</f>
        <v>60.460405811879845</v>
      </c>
      <c r="F94" s="43">
        <f>SUM(F67:F93)</f>
        <v>142.93738898420415</v>
      </c>
      <c r="G94" s="43">
        <f>SUM(G67:G93)</f>
        <v>147.9323552686069</v>
      </c>
      <c r="H94" s="43">
        <f>SUM(H67:H93)</f>
        <v>147.9323552686069</v>
      </c>
      <c r="I94" s="43">
        <f>SUM(I67:I93)</f>
        <v>168.89757183461944</v>
      </c>
      <c r="J94" s="43">
        <f>SUM(J67:J93)</f>
        <v>168.89757183461944</v>
      </c>
      <c r="K94" s="43">
        <f>SUM(K67:K93)</f>
        <v>168.89757183461944</v>
      </c>
      <c r="L94" s="43">
        <f>SUM(L67:L93)</f>
        <v>168.89757183461944</v>
      </c>
      <c r="M94" s="43">
        <f>SUM(M67:M93)</f>
        <v>168.89757183461944</v>
      </c>
      <c r="N94" s="43">
        <f>SUM(N67:N93)</f>
        <v>168.89757183461944</v>
      </c>
      <c r="O94" s="44">
        <f>SUM(O67:O93)</f>
        <v>168.89757183461944</v>
      </c>
      <c r="P94" s="44">
        <f>SUM(P67:P93)</f>
        <v>165.8174004457012</v>
      </c>
      <c r="Q94" s="44">
        <f>SUM(Q67:Q93)</f>
        <v>170.94661830143482</v>
      </c>
      <c r="R94" s="44">
        <f>SUM(R67:R93)</f>
        <v>175.26145037358265</v>
      </c>
      <c r="S94" s="44">
        <f>SUM(S67:S93)</f>
        <v>175.26145037358265</v>
      </c>
      <c r="T94" s="44">
        <f>SUM(T67:T93)</f>
        <v>178.66052811719936</v>
      </c>
      <c r="U94" s="44">
        <f>SUM(U67:U93)</f>
        <v>206.18600066808037</v>
      </c>
      <c r="V94" s="44">
        <f>SUM(V67:V93)</f>
        <v>206.18600066808037</v>
      </c>
      <c r="W94" s="44">
        <f>SUM(W67:W93)</f>
        <v>206.18600066808037</v>
      </c>
      <c r="X94" s="44">
        <f>SUM(X67:X93)</f>
        <v>206.18600066808037</v>
      </c>
      <c r="Y94" s="44">
        <f>SUM(Y67:Y93)</f>
        <v>201.68831138095538</v>
      </c>
      <c r="Z94" s="44">
        <f>SUM(Z67:Z93)</f>
        <v>197.07705073313116</v>
      </c>
      <c r="AA94" s="44">
        <f t="shared" ref="AA94:AB94" si="2">SUM(AA67:AA93)</f>
        <v>0</v>
      </c>
      <c r="AB94" s="44">
        <f t="shared" si="2"/>
        <v>0</v>
      </c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6"/>
  <sheetViews>
    <sheetView workbookViewId="0">
      <selection activeCell="K25" sqref="K25"/>
    </sheetView>
  </sheetViews>
  <sheetFormatPr defaultRowHeight="15" x14ac:dyDescent="0.25"/>
  <cols>
    <col min="1" max="1" width="10.7109375" style="10" bestFit="1" customWidth="1"/>
    <col min="2" max="2" width="9.140625" style="11" customWidth="1"/>
    <col min="3" max="3" width="9.140625" style="12" customWidth="1"/>
  </cols>
  <sheetData>
    <row r="1" spans="1:3" x14ac:dyDescent="0.25">
      <c r="A1" s="7" t="s">
        <v>0</v>
      </c>
      <c r="B1" s="8" t="s">
        <v>59</v>
      </c>
      <c r="C1" s="9" t="s">
        <v>60</v>
      </c>
    </row>
    <row r="2" spans="1:3" x14ac:dyDescent="0.25">
      <c r="A2" s="10">
        <v>45314</v>
      </c>
      <c r="B2" s="11" t="s">
        <v>61</v>
      </c>
      <c r="C2" s="12">
        <v>126.97408799999999</v>
      </c>
    </row>
    <row r="3" spans="1:3" x14ac:dyDescent="0.25">
      <c r="A3" s="10">
        <v>45316</v>
      </c>
      <c r="B3" s="11" t="s">
        <v>62</v>
      </c>
      <c r="C3" s="12">
        <v>-1422.7020660000001</v>
      </c>
    </row>
    <row r="4" spans="1:3" x14ac:dyDescent="0.25">
      <c r="A4" s="10">
        <v>45316</v>
      </c>
      <c r="B4" s="11" t="s">
        <v>63</v>
      </c>
      <c r="C4" s="12">
        <v>2956.7705340000002</v>
      </c>
    </row>
    <row r="5" spans="1:3" x14ac:dyDescent="0.25">
      <c r="A5" s="10">
        <v>45322</v>
      </c>
      <c r="B5" s="11" t="s">
        <v>64</v>
      </c>
      <c r="C5" s="12">
        <v>-772.09691399999997</v>
      </c>
    </row>
    <row r="6" spans="1:3" x14ac:dyDescent="0.25">
      <c r="A6" s="10">
        <v>45322</v>
      </c>
      <c r="B6" s="11" t="s">
        <v>65</v>
      </c>
      <c r="C6" s="12">
        <v>354.50062200000002</v>
      </c>
    </row>
    <row r="7" spans="1:3" x14ac:dyDescent="0.25">
      <c r="A7" s="10">
        <v>45322</v>
      </c>
      <c r="B7" s="11" t="s">
        <v>66</v>
      </c>
      <c r="C7" s="12">
        <v>633.01202999999998</v>
      </c>
    </row>
    <row r="8" spans="1:3" x14ac:dyDescent="0.25">
      <c r="A8" s="10">
        <v>45322</v>
      </c>
      <c r="B8" s="11" t="s">
        <v>67</v>
      </c>
      <c r="C8" s="12">
        <v>-1326.98677</v>
      </c>
    </row>
    <row r="9" spans="1:3" x14ac:dyDescent="0.25">
      <c r="A9" s="10">
        <v>45322</v>
      </c>
      <c r="B9" s="11" t="s">
        <v>68</v>
      </c>
      <c r="C9" s="12">
        <v>-56.100845999999997</v>
      </c>
    </row>
    <row r="10" spans="1:3" x14ac:dyDescent="0.25">
      <c r="A10" s="10">
        <v>45324</v>
      </c>
      <c r="B10" s="11" t="s">
        <v>69</v>
      </c>
      <c r="C10" s="12">
        <v>-286.04935</v>
      </c>
    </row>
    <row r="11" spans="1:3" x14ac:dyDescent="0.25">
      <c r="A11" s="10">
        <v>45328</v>
      </c>
      <c r="B11" s="11" t="s">
        <v>70</v>
      </c>
      <c r="C11" s="12">
        <v>395.04159600000003</v>
      </c>
    </row>
    <row r="12" spans="1:3" x14ac:dyDescent="0.25">
      <c r="A12" s="10">
        <v>45355</v>
      </c>
      <c r="B12" s="11" t="s">
        <v>71</v>
      </c>
      <c r="C12" s="12">
        <v>-348.16</v>
      </c>
    </row>
    <row r="13" spans="1:3" x14ac:dyDescent="0.25">
      <c r="A13" s="10">
        <v>45357</v>
      </c>
      <c r="B13" s="11" t="s">
        <v>72</v>
      </c>
      <c r="C13" s="12">
        <v>-78.587674000000007</v>
      </c>
    </row>
    <row r="14" spans="1:3" x14ac:dyDescent="0.25">
      <c r="A14" s="10">
        <v>45357</v>
      </c>
      <c r="B14" s="11" t="s">
        <v>73</v>
      </c>
      <c r="C14" s="12">
        <v>-164.58700999999999</v>
      </c>
    </row>
    <row r="15" spans="1:3" x14ac:dyDescent="0.25">
      <c r="A15" s="10">
        <v>45357</v>
      </c>
      <c r="B15" s="11" t="s">
        <v>72</v>
      </c>
      <c r="C15" s="12">
        <v>-1.747682</v>
      </c>
    </row>
    <row r="16" spans="1:3" x14ac:dyDescent="0.25">
      <c r="A16" s="10">
        <v>45357</v>
      </c>
      <c r="B16" s="11" t="s">
        <v>73</v>
      </c>
      <c r="C16" s="12">
        <v>-5.7470100000000004</v>
      </c>
    </row>
    <row r="17" spans="1:3" x14ac:dyDescent="0.25">
      <c r="A17" s="10">
        <v>45359</v>
      </c>
      <c r="B17" s="11" t="s">
        <v>74</v>
      </c>
      <c r="C17" s="12">
        <v>2.413208</v>
      </c>
    </row>
    <row r="18" spans="1:3" x14ac:dyDescent="0.25">
      <c r="A18" s="10">
        <v>45366</v>
      </c>
      <c r="B18" s="11" t="s">
        <v>75</v>
      </c>
      <c r="C18" s="12">
        <v>-2.3729408134296119</v>
      </c>
    </row>
    <row r="19" spans="1:3" x14ac:dyDescent="0.25">
      <c r="A19" s="10">
        <v>45369</v>
      </c>
      <c r="B19" s="11" t="s">
        <v>76</v>
      </c>
      <c r="C19" s="12">
        <v>-77.2</v>
      </c>
    </row>
    <row r="20" spans="1:3" x14ac:dyDescent="0.25">
      <c r="A20" s="10">
        <v>45370</v>
      </c>
      <c r="B20" s="11" t="s">
        <v>75</v>
      </c>
      <c r="C20" s="12">
        <v>-243.42272510252801</v>
      </c>
    </row>
    <row r="21" spans="1:3" x14ac:dyDescent="0.25">
      <c r="A21" s="10">
        <v>45383</v>
      </c>
      <c r="B21" s="11" t="s">
        <v>61</v>
      </c>
      <c r="C21" s="12">
        <v>236.47800000000001</v>
      </c>
    </row>
    <row r="22" spans="1:3" x14ac:dyDescent="0.25">
      <c r="A22" s="10">
        <v>45392</v>
      </c>
      <c r="B22" s="11" t="s">
        <v>77</v>
      </c>
      <c r="C22" s="12">
        <v>245.5</v>
      </c>
    </row>
    <row r="23" spans="1:3" x14ac:dyDescent="0.25">
      <c r="A23" s="10">
        <v>45392</v>
      </c>
      <c r="B23" s="11" t="s">
        <v>77</v>
      </c>
      <c r="C23" s="12">
        <v>-9.3699999999999992</v>
      </c>
    </row>
    <row r="24" spans="1:3" x14ac:dyDescent="0.25">
      <c r="A24" s="10">
        <v>45392</v>
      </c>
      <c r="B24" s="11" t="s">
        <v>77</v>
      </c>
      <c r="C24" s="12">
        <v>-5.69</v>
      </c>
    </row>
    <row r="25" spans="1:3" x14ac:dyDescent="0.25">
      <c r="A25" s="10">
        <v>45392</v>
      </c>
      <c r="B25" s="11" t="s">
        <v>77</v>
      </c>
      <c r="C25" s="12">
        <v>-44.25</v>
      </c>
    </row>
    <row r="26" spans="1:3" x14ac:dyDescent="0.25">
      <c r="A26" s="10">
        <v>45392</v>
      </c>
      <c r="B26" s="11" t="s">
        <v>78</v>
      </c>
      <c r="C26" s="12">
        <v>329.7</v>
      </c>
    </row>
    <row r="27" spans="1:3" x14ac:dyDescent="0.25">
      <c r="A27" s="10">
        <v>45393</v>
      </c>
      <c r="B27" s="11" t="s">
        <v>79</v>
      </c>
      <c r="C27" s="12">
        <v>-8.6950839999999996</v>
      </c>
    </row>
    <row r="28" spans="1:3" x14ac:dyDescent="0.25">
      <c r="A28" s="10">
        <v>45393</v>
      </c>
      <c r="B28" s="11" t="s">
        <v>80</v>
      </c>
      <c r="C28" s="12">
        <v>4.6724540138871964</v>
      </c>
    </row>
    <row r="29" spans="1:3" x14ac:dyDescent="0.25">
      <c r="A29" s="10">
        <v>45393</v>
      </c>
      <c r="B29" s="11" t="s">
        <v>80</v>
      </c>
      <c r="C29" s="12">
        <v>13.167824948227549</v>
      </c>
    </row>
    <row r="30" spans="1:3" x14ac:dyDescent="0.25">
      <c r="A30" s="10">
        <v>45397</v>
      </c>
      <c r="B30" s="11" t="s">
        <v>81</v>
      </c>
      <c r="C30" s="12">
        <v>-263.12</v>
      </c>
    </row>
    <row r="31" spans="1:3" x14ac:dyDescent="0.25">
      <c r="A31" s="10">
        <v>45397</v>
      </c>
      <c r="B31" s="11" t="s">
        <v>81</v>
      </c>
      <c r="C31" s="12">
        <v>-38.08</v>
      </c>
    </row>
    <row r="32" spans="1:3" x14ac:dyDescent="0.25">
      <c r="A32" s="10">
        <v>45398</v>
      </c>
      <c r="B32" s="11" t="s">
        <v>82</v>
      </c>
      <c r="C32" s="12">
        <v>2152.195682</v>
      </c>
    </row>
    <row r="33" spans="1:3" x14ac:dyDescent="0.25">
      <c r="A33" s="10">
        <v>45398</v>
      </c>
      <c r="B33" s="11" t="s">
        <v>83</v>
      </c>
      <c r="C33" s="12">
        <v>-5616.795478</v>
      </c>
    </row>
    <row r="34" spans="1:3" x14ac:dyDescent="0.25">
      <c r="A34" s="10">
        <v>45398</v>
      </c>
      <c r="B34" s="11" t="s">
        <v>79</v>
      </c>
      <c r="C34" s="12">
        <v>234.288284</v>
      </c>
    </row>
    <row r="35" spans="1:3" x14ac:dyDescent="0.25">
      <c r="A35" s="10">
        <v>45398</v>
      </c>
      <c r="B35" s="11" t="s">
        <v>84</v>
      </c>
      <c r="C35" s="12">
        <v>-1.260614440257688</v>
      </c>
    </row>
    <row r="36" spans="1:3" x14ac:dyDescent="0.25">
      <c r="A36" s="10">
        <v>45398</v>
      </c>
      <c r="B36" s="11" t="s">
        <v>84</v>
      </c>
      <c r="C36" s="12">
        <v>-11.503753236295131</v>
      </c>
    </row>
    <row r="37" spans="1:3" x14ac:dyDescent="0.25">
      <c r="A37" s="10">
        <v>45399</v>
      </c>
      <c r="B37" s="11" t="s">
        <v>85</v>
      </c>
      <c r="C37" s="12">
        <v>67.38</v>
      </c>
    </row>
    <row r="38" spans="1:3" x14ac:dyDescent="0.25">
      <c r="A38" s="10">
        <v>45406</v>
      </c>
      <c r="B38" s="11" t="s">
        <v>84</v>
      </c>
      <c r="C38" s="12">
        <v>-1.3666488494292439</v>
      </c>
    </row>
    <row r="39" spans="1:3" x14ac:dyDescent="0.25">
      <c r="A39" s="10">
        <v>45406</v>
      </c>
      <c r="B39" s="11" t="s">
        <v>84</v>
      </c>
      <c r="C39" s="12">
        <v>-1.400532705200217</v>
      </c>
    </row>
    <row r="40" spans="1:3" x14ac:dyDescent="0.25">
      <c r="A40" s="10">
        <v>45406</v>
      </c>
      <c r="B40" s="11" t="s">
        <v>84</v>
      </c>
      <c r="C40" s="12">
        <v>-46.359052437035693</v>
      </c>
    </row>
    <row r="41" spans="1:3" x14ac:dyDescent="0.25">
      <c r="A41" s="10">
        <v>45407</v>
      </c>
      <c r="B41" s="11" t="s">
        <v>84</v>
      </c>
      <c r="C41" s="12">
        <v>-78.921982249940029</v>
      </c>
    </row>
    <row r="42" spans="1:3" x14ac:dyDescent="0.25">
      <c r="A42" s="10">
        <v>45407</v>
      </c>
      <c r="B42" s="11" t="s">
        <v>84</v>
      </c>
      <c r="C42" s="12">
        <v>-557.298825905493</v>
      </c>
    </row>
    <row r="43" spans="1:3" x14ac:dyDescent="0.25">
      <c r="A43" s="10">
        <v>45413</v>
      </c>
      <c r="B43" s="11" t="s">
        <v>86</v>
      </c>
      <c r="C43" s="12">
        <v>159.36000000000001</v>
      </c>
    </row>
    <row r="44" spans="1:3" x14ac:dyDescent="0.25">
      <c r="A44" s="10">
        <v>45427</v>
      </c>
      <c r="B44" s="11" t="s">
        <v>87</v>
      </c>
      <c r="C44" s="12">
        <v>-301.08</v>
      </c>
    </row>
    <row r="45" spans="1:3" x14ac:dyDescent="0.25">
      <c r="A45" s="10">
        <v>45432</v>
      </c>
      <c r="B45" s="11" t="s">
        <v>88</v>
      </c>
      <c r="C45" s="12">
        <v>66.459999999999994</v>
      </c>
    </row>
    <row r="46" spans="1:3" x14ac:dyDescent="0.25">
      <c r="A46" s="10">
        <v>45436</v>
      </c>
      <c r="B46" s="11" t="s">
        <v>88</v>
      </c>
      <c r="C46" s="12">
        <v>-908.62</v>
      </c>
    </row>
    <row r="47" spans="1:3" x14ac:dyDescent="0.25">
      <c r="A47" s="10">
        <v>45436</v>
      </c>
      <c r="B47" s="11" t="s">
        <v>88</v>
      </c>
      <c r="C47" s="12">
        <v>-13.08</v>
      </c>
    </row>
    <row r="48" spans="1:3" x14ac:dyDescent="0.25">
      <c r="A48" s="10">
        <v>45446</v>
      </c>
      <c r="B48" s="11" t="s">
        <v>89</v>
      </c>
      <c r="C48" s="12">
        <v>-245.1</v>
      </c>
    </row>
    <row r="49" spans="1:3" x14ac:dyDescent="0.25">
      <c r="A49" s="10">
        <v>45454</v>
      </c>
      <c r="B49" s="11" t="s">
        <v>90</v>
      </c>
      <c r="C49" s="12">
        <v>-190.84</v>
      </c>
    </row>
    <row r="50" spans="1:3" x14ac:dyDescent="0.25">
      <c r="A50" s="10">
        <v>45455</v>
      </c>
      <c r="B50" s="11" t="s">
        <v>90</v>
      </c>
      <c r="C50" s="12">
        <v>496.66</v>
      </c>
    </row>
    <row r="51" spans="1:3" x14ac:dyDescent="0.25">
      <c r="A51" s="10">
        <v>45456</v>
      </c>
      <c r="B51" s="11" t="s">
        <v>91</v>
      </c>
      <c r="C51" s="12">
        <v>434.02</v>
      </c>
    </row>
    <row r="52" spans="1:3" x14ac:dyDescent="0.25">
      <c r="A52" s="10">
        <v>45461</v>
      </c>
      <c r="B52" s="11" t="s">
        <v>91</v>
      </c>
      <c r="C52" s="12">
        <v>48.58</v>
      </c>
    </row>
    <row r="53" spans="1:3" x14ac:dyDescent="0.25">
      <c r="A53" s="10">
        <v>45461</v>
      </c>
      <c r="B53" s="11" t="s">
        <v>92</v>
      </c>
      <c r="C53" s="12">
        <v>-8.1056880000000007</v>
      </c>
    </row>
    <row r="54" spans="1:3" x14ac:dyDescent="0.25">
      <c r="A54" s="10">
        <v>45461</v>
      </c>
      <c r="B54" s="11" t="s">
        <v>93</v>
      </c>
      <c r="C54" s="12">
        <v>-48.6</v>
      </c>
    </row>
    <row r="55" spans="1:3" x14ac:dyDescent="0.25">
      <c r="A55" s="10">
        <v>45475</v>
      </c>
      <c r="B55" s="11" t="s">
        <v>94</v>
      </c>
      <c r="C55" s="12">
        <v>46.947693999999998</v>
      </c>
    </row>
    <row r="56" spans="1:3" x14ac:dyDescent="0.25">
      <c r="A56" s="10">
        <v>45475</v>
      </c>
      <c r="B56" s="11" t="s">
        <v>95</v>
      </c>
      <c r="C56" s="12">
        <v>-81.057922000000005</v>
      </c>
    </row>
    <row r="57" spans="1:3" x14ac:dyDescent="0.25">
      <c r="A57" s="10">
        <v>45482</v>
      </c>
      <c r="B57" s="11" t="s">
        <v>96</v>
      </c>
      <c r="C57" s="12">
        <v>50.86</v>
      </c>
    </row>
    <row r="58" spans="1:3" x14ac:dyDescent="0.25">
      <c r="A58" s="10">
        <v>45484</v>
      </c>
      <c r="B58" s="11" t="s">
        <v>90</v>
      </c>
      <c r="C58" s="12">
        <v>231.035</v>
      </c>
    </row>
    <row r="59" spans="1:3" x14ac:dyDescent="0.25">
      <c r="A59" s="10">
        <v>45509</v>
      </c>
      <c r="B59" s="11" t="s">
        <v>95</v>
      </c>
      <c r="C59" s="12">
        <v>-668.41547700000001</v>
      </c>
    </row>
    <row r="60" spans="1:3" x14ac:dyDescent="0.25">
      <c r="A60" s="10">
        <v>45509</v>
      </c>
      <c r="B60" s="11" t="s">
        <v>97</v>
      </c>
      <c r="C60" s="12">
        <v>1016.546214</v>
      </c>
    </row>
    <row r="61" spans="1:3" x14ac:dyDescent="0.25">
      <c r="A61" s="10">
        <v>45510</v>
      </c>
      <c r="B61" s="11" t="s">
        <v>84</v>
      </c>
      <c r="C61" s="12">
        <v>228.76402962916171</v>
      </c>
    </row>
    <row r="62" spans="1:3" x14ac:dyDescent="0.25">
      <c r="A62" s="10">
        <v>45512</v>
      </c>
      <c r="B62" s="11" t="s">
        <v>84</v>
      </c>
      <c r="C62" s="12">
        <v>169.82759484161761</v>
      </c>
    </row>
    <row r="63" spans="1:3" x14ac:dyDescent="0.25">
      <c r="A63" s="10">
        <v>45553</v>
      </c>
      <c r="B63" s="11" t="s">
        <v>78</v>
      </c>
      <c r="C63" s="12">
        <v>-931.9425</v>
      </c>
    </row>
    <row r="64" spans="1:3" x14ac:dyDescent="0.25">
      <c r="A64" s="10">
        <v>45572</v>
      </c>
      <c r="B64" s="11" t="s">
        <v>98</v>
      </c>
      <c r="C64" s="12">
        <v>-667.84500000000003</v>
      </c>
    </row>
    <row r="65" spans="1:3" x14ac:dyDescent="0.25">
      <c r="A65" s="10">
        <v>45573</v>
      </c>
      <c r="B65" s="11" t="s">
        <v>99</v>
      </c>
      <c r="C65" s="12">
        <v>114.03</v>
      </c>
    </row>
    <row r="66" spans="1:3" x14ac:dyDescent="0.25">
      <c r="A66" s="10">
        <v>45575</v>
      </c>
      <c r="B66" s="11" t="s">
        <v>98</v>
      </c>
      <c r="C66" s="12">
        <v>1117.77</v>
      </c>
    </row>
    <row r="67" spans="1:3" x14ac:dyDescent="0.25">
      <c r="A67" s="10">
        <v>45575</v>
      </c>
      <c r="B67" s="11" t="s">
        <v>99</v>
      </c>
      <c r="C67" s="12">
        <v>954.75</v>
      </c>
    </row>
    <row r="68" spans="1:3" x14ac:dyDescent="0.25">
      <c r="A68" s="10">
        <v>45579</v>
      </c>
      <c r="B68" s="11" t="s">
        <v>99</v>
      </c>
      <c r="C68" s="12">
        <v>3735.66</v>
      </c>
    </row>
    <row r="69" spans="1:3" x14ac:dyDescent="0.25">
      <c r="A69" s="10">
        <v>45579</v>
      </c>
      <c r="B69" s="11" t="s">
        <v>98</v>
      </c>
      <c r="C69" s="12">
        <v>1159.44</v>
      </c>
    </row>
    <row r="70" spans="1:3" x14ac:dyDescent="0.25">
      <c r="A70" s="10">
        <v>45580</v>
      </c>
      <c r="B70" s="11" t="s">
        <v>100</v>
      </c>
      <c r="C70" s="12">
        <v>-1712.13</v>
      </c>
    </row>
    <row r="71" spans="1:3" x14ac:dyDescent="0.25">
      <c r="A71" s="10">
        <v>45594</v>
      </c>
      <c r="B71" s="11" t="s">
        <v>101</v>
      </c>
      <c r="C71" s="12">
        <v>-7.6232828249115547</v>
      </c>
    </row>
    <row r="72" spans="1:3" x14ac:dyDescent="0.25">
      <c r="A72" s="10">
        <v>45594</v>
      </c>
      <c r="B72" s="11" t="s">
        <v>102</v>
      </c>
      <c r="C72" s="12">
        <v>3326.28</v>
      </c>
    </row>
    <row r="73" spans="1:3" x14ac:dyDescent="0.25">
      <c r="A73" s="10">
        <v>45595</v>
      </c>
      <c r="B73" s="11" t="s">
        <v>102</v>
      </c>
      <c r="C73" s="12">
        <v>1746.48</v>
      </c>
    </row>
    <row r="74" spans="1:3" x14ac:dyDescent="0.25">
      <c r="A74" s="10">
        <v>45600</v>
      </c>
      <c r="B74" s="11" t="s">
        <v>103</v>
      </c>
      <c r="C74" s="12">
        <v>35.140500000000003</v>
      </c>
    </row>
    <row r="75" spans="1:3" x14ac:dyDescent="0.25">
      <c r="A75" s="10">
        <v>45600</v>
      </c>
      <c r="B75" s="11" t="s">
        <v>104</v>
      </c>
      <c r="C75" s="12">
        <v>-8.7095000000000002</v>
      </c>
    </row>
    <row r="76" spans="1:3" x14ac:dyDescent="0.25">
      <c r="A76" s="10">
        <v>45603</v>
      </c>
      <c r="B76" s="11" t="s">
        <v>105</v>
      </c>
      <c r="C76" s="12">
        <v>480.57715285740147</v>
      </c>
    </row>
    <row r="77" spans="1:3" x14ac:dyDescent="0.25">
      <c r="A77" s="10">
        <v>45604</v>
      </c>
      <c r="B77" s="11" t="s">
        <v>76</v>
      </c>
      <c r="C77" s="12">
        <v>45.3</v>
      </c>
    </row>
    <row r="78" spans="1:3" x14ac:dyDescent="0.25">
      <c r="A78" s="10">
        <v>45604</v>
      </c>
      <c r="B78" s="11" t="s">
        <v>76</v>
      </c>
      <c r="C78" s="12">
        <v>-242.4</v>
      </c>
    </row>
    <row r="79" spans="1:3" x14ac:dyDescent="0.25">
      <c r="A79" s="10">
        <v>45607</v>
      </c>
      <c r="B79" s="11" t="s">
        <v>101</v>
      </c>
      <c r="C79" s="12">
        <v>-254.58242860991379</v>
      </c>
    </row>
    <row r="80" spans="1:3" x14ac:dyDescent="0.25">
      <c r="A80" s="10">
        <v>45616</v>
      </c>
      <c r="B80" s="11" t="s">
        <v>106</v>
      </c>
      <c r="C80" s="12">
        <v>154.02000000000001</v>
      </c>
    </row>
    <row r="81" spans="1:3" x14ac:dyDescent="0.25">
      <c r="A81" s="10">
        <v>45622</v>
      </c>
      <c r="B81" s="11" t="s">
        <v>101</v>
      </c>
      <c r="C81" s="12">
        <v>2.3054338299737069</v>
      </c>
    </row>
    <row r="82" spans="1:3" x14ac:dyDescent="0.25">
      <c r="A82" s="10">
        <v>45622</v>
      </c>
      <c r="B82" s="11" t="s">
        <v>107</v>
      </c>
      <c r="C82" s="12">
        <v>29.4532936734314</v>
      </c>
    </row>
    <row r="83" spans="1:3" x14ac:dyDescent="0.25">
      <c r="A83" s="10">
        <v>45623</v>
      </c>
      <c r="B83" s="11" t="s">
        <v>76</v>
      </c>
      <c r="C83" s="12">
        <v>-31.5</v>
      </c>
    </row>
    <row r="84" spans="1:3" x14ac:dyDescent="0.25">
      <c r="A84" s="10">
        <v>45628</v>
      </c>
      <c r="B84" s="11" t="s">
        <v>76</v>
      </c>
      <c r="C84" s="12">
        <v>-264.83668</v>
      </c>
    </row>
    <row r="85" spans="1:3" x14ac:dyDescent="0.25">
      <c r="A85" s="10">
        <v>45628</v>
      </c>
      <c r="B85" s="11" t="s">
        <v>101</v>
      </c>
      <c r="C85" s="12">
        <v>-272.75596352047739</v>
      </c>
    </row>
    <row r="86" spans="1:3" x14ac:dyDescent="0.25">
      <c r="A86" s="10">
        <v>45632</v>
      </c>
      <c r="B86" s="11" t="s">
        <v>108</v>
      </c>
      <c r="C86" s="12">
        <v>2687.06</v>
      </c>
    </row>
    <row r="87" spans="1:3" x14ac:dyDescent="0.25">
      <c r="A87" s="10">
        <v>45632</v>
      </c>
      <c r="B87" s="11" t="s">
        <v>109</v>
      </c>
      <c r="C87" s="12">
        <v>-632.37</v>
      </c>
    </row>
    <row r="88" spans="1:3" x14ac:dyDescent="0.25">
      <c r="A88" s="10">
        <v>45636</v>
      </c>
      <c r="B88" s="11" t="s">
        <v>110</v>
      </c>
      <c r="C88" s="12">
        <v>-704.05401800000004</v>
      </c>
    </row>
    <row r="89" spans="1:3" x14ac:dyDescent="0.25">
      <c r="A89" s="10">
        <v>45636</v>
      </c>
      <c r="B89" s="11" t="s">
        <v>111</v>
      </c>
      <c r="C89" s="12">
        <v>274.24470200000002</v>
      </c>
    </row>
    <row r="90" spans="1:3" x14ac:dyDescent="0.25">
      <c r="A90" s="10">
        <v>45637</v>
      </c>
      <c r="B90" s="11" t="s">
        <v>101</v>
      </c>
      <c r="C90" s="12">
        <v>-72.71365649111037</v>
      </c>
    </row>
    <row r="91" spans="1:3" x14ac:dyDescent="0.25">
      <c r="A91" s="10">
        <v>45664</v>
      </c>
      <c r="B91" s="11" t="s">
        <v>112</v>
      </c>
      <c r="C91" s="12">
        <v>1485.48</v>
      </c>
    </row>
    <row r="92" spans="1:3" x14ac:dyDescent="0.25">
      <c r="A92" s="10">
        <v>45667</v>
      </c>
      <c r="B92" s="11" t="s">
        <v>112</v>
      </c>
      <c r="C92" s="12">
        <v>1485.48</v>
      </c>
    </row>
    <row r="93" spans="1:3" x14ac:dyDescent="0.25">
      <c r="A93" s="10">
        <v>45672</v>
      </c>
      <c r="B93" s="11" t="s">
        <v>112</v>
      </c>
      <c r="C93" s="12">
        <v>-1580.925</v>
      </c>
    </row>
    <row r="94" spans="1:3" x14ac:dyDescent="0.25">
      <c r="A94" s="10">
        <v>45674</v>
      </c>
      <c r="B94" s="11" t="s">
        <v>84</v>
      </c>
      <c r="C94" s="12">
        <v>737.41293437433706</v>
      </c>
    </row>
    <row r="95" spans="1:3" x14ac:dyDescent="0.25">
      <c r="A95" s="10">
        <v>45686</v>
      </c>
      <c r="B95" s="11" t="s">
        <v>112</v>
      </c>
      <c r="C95" s="12">
        <v>-715.71</v>
      </c>
    </row>
    <row r="96" spans="1:3" x14ac:dyDescent="0.25">
      <c r="A96" s="10">
        <v>45693</v>
      </c>
      <c r="B96" s="11" t="s">
        <v>84</v>
      </c>
      <c r="C96" s="12">
        <v>1905.9007535321821</v>
      </c>
    </row>
    <row r="97" spans="1:3" x14ac:dyDescent="0.25">
      <c r="A97" s="10">
        <v>45698</v>
      </c>
      <c r="B97" s="11" t="s">
        <v>112</v>
      </c>
      <c r="C97" s="12">
        <v>443.73</v>
      </c>
    </row>
    <row r="98" spans="1:3" x14ac:dyDescent="0.25">
      <c r="A98" s="10">
        <v>45699</v>
      </c>
      <c r="B98" s="11" t="s">
        <v>84</v>
      </c>
      <c r="C98" s="12">
        <v>17.85432349949135</v>
      </c>
    </row>
    <row r="99" spans="1:3" x14ac:dyDescent="0.25">
      <c r="A99" s="10">
        <v>45700</v>
      </c>
      <c r="B99" s="11" t="s">
        <v>112</v>
      </c>
      <c r="C99" s="12">
        <v>701.07</v>
      </c>
    </row>
    <row r="100" spans="1:3" x14ac:dyDescent="0.25">
      <c r="A100" s="10">
        <v>45702</v>
      </c>
      <c r="B100" s="11" t="s">
        <v>84</v>
      </c>
      <c r="C100" s="12">
        <v>255.42129427197199</v>
      </c>
    </row>
    <row r="101" spans="1:3" x14ac:dyDescent="0.25">
      <c r="A101" s="10">
        <v>45712</v>
      </c>
      <c r="B101" s="11" t="s">
        <v>112</v>
      </c>
      <c r="C101" s="12">
        <v>-816.22500000000002</v>
      </c>
    </row>
    <row r="102" spans="1:3" x14ac:dyDescent="0.25">
      <c r="A102" s="10">
        <v>45713</v>
      </c>
      <c r="B102" s="11" t="s">
        <v>112</v>
      </c>
      <c r="C102" s="12">
        <v>-1149.585</v>
      </c>
    </row>
    <row r="103" spans="1:3" x14ac:dyDescent="0.25">
      <c r="A103" s="10">
        <v>45714</v>
      </c>
      <c r="B103" s="11" t="s">
        <v>76</v>
      </c>
      <c r="C103" s="12">
        <v>17.7</v>
      </c>
    </row>
    <row r="104" spans="1:3" x14ac:dyDescent="0.25">
      <c r="A104" s="10">
        <v>45715</v>
      </c>
      <c r="B104" s="11" t="s">
        <v>84</v>
      </c>
      <c r="C104" s="12">
        <v>6.6753999999999998</v>
      </c>
    </row>
    <row r="105" spans="1:3" x14ac:dyDescent="0.25">
      <c r="A105" s="10">
        <v>45715</v>
      </c>
      <c r="B105" s="11" t="s">
        <v>112</v>
      </c>
      <c r="C105" s="12">
        <v>-1149.585</v>
      </c>
    </row>
    <row r="106" spans="1:3" x14ac:dyDescent="0.25">
      <c r="A106" s="10">
        <v>45719</v>
      </c>
      <c r="B106" s="11" t="s">
        <v>108</v>
      </c>
      <c r="C106" s="12">
        <v>266.52</v>
      </c>
    </row>
    <row r="107" spans="1:3" x14ac:dyDescent="0.25">
      <c r="A107" s="10">
        <v>45719</v>
      </c>
      <c r="B107" s="11" t="s">
        <v>108</v>
      </c>
      <c r="C107" s="12">
        <v>491.52</v>
      </c>
    </row>
    <row r="108" spans="1:3" x14ac:dyDescent="0.25">
      <c r="A108" s="10">
        <v>45726</v>
      </c>
      <c r="B108" s="11" t="s">
        <v>113</v>
      </c>
      <c r="C108" s="12">
        <v>11.023878020713459</v>
      </c>
    </row>
    <row r="109" spans="1:3" x14ac:dyDescent="0.25">
      <c r="A109" s="10">
        <v>45741</v>
      </c>
      <c r="B109" s="11" t="s">
        <v>108</v>
      </c>
      <c r="C109" s="12">
        <v>520.76</v>
      </c>
    </row>
    <row r="110" spans="1:3" x14ac:dyDescent="0.25">
      <c r="A110" s="10">
        <v>45741</v>
      </c>
      <c r="B110" s="11" t="s">
        <v>114</v>
      </c>
      <c r="C110" s="12">
        <v>-10.02</v>
      </c>
    </row>
    <row r="111" spans="1:3" x14ac:dyDescent="0.25">
      <c r="A111" s="10">
        <v>45742</v>
      </c>
      <c r="B111" s="11" t="s">
        <v>101</v>
      </c>
      <c r="C111" s="12">
        <v>-78.699746539286409</v>
      </c>
    </row>
    <row r="112" spans="1:3" x14ac:dyDescent="0.25">
      <c r="A112" s="10">
        <v>45742</v>
      </c>
      <c r="B112" s="11" t="s">
        <v>113</v>
      </c>
      <c r="C112" s="12">
        <v>353.36712029635402</v>
      </c>
    </row>
    <row r="113" spans="1:3" x14ac:dyDescent="0.25">
      <c r="A113" s="10">
        <v>45742</v>
      </c>
      <c r="B113" s="11" t="s">
        <v>84</v>
      </c>
      <c r="C113" s="12">
        <v>-104.78726263871761</v>
      </c>
    </row>
    <row r="114" spans="1:3" x14ac:dyDescent="0.25">
      <c r="A114" s="10">
        <v>45742</v>
      </c>
      <c r="B114" s="11" t="s">
        <v>115</v>
      </c>
      <c r="C114" s="12">
        <v>352.88</v>
      </c>
    </row>
    <row r="115" spans="1:3" x14ac:dyDescent="0.25">
      <c r="A115" s="10">
        <v>45743</v>
      </c>
      <c r="B115" s="11" t="s">
        <v>116</v>
      </c>
      <c r="C115" s="12">
        <v>547.86167</v>
      </c>
    </row>
    <row r="116" spans="1:3" x14ac:dyDescent="0.25">
      <c r="A116" s="10">
        <v>45751</v>
      </c>
      <c r="B116" s="11" t="s">
        <v>108</v>
      </c>
      <c r="C116" s="12">
        <v>36257.160000000003</v>
      </c>
    </row>
    <row r="117" spans="1:3" x14ac:dyDescent="0.25">
      <c r="A117" s="10">
        <v>45754</v>
      </c>
      <c r="B117" s="11" t="s">
        <v>117</v>
      </c>
      <c r="C117" s="12">
        <v>-353.75043599999998</v>
      </c>
    </row>
    <row r="118" spans="1:3" x14ac:dyDescent="0.25">
      <c r="A118" s="10">
        <v>45757</v>
      </c>
      <c r="B118" s="11" t="s">
        <v>113</v>
      </c>
      <c r="C118" s="12">
        <v>75.609424905491124</v>
      </c>
    </row>
    <row r="119" spans="1:3" x14ac:dyDescent="0.25">
      <c r="A119" s="10">
        <v>45757</v>
      </c>
      <c r="B119" s="11" t="s">
        <v>84</v>
      </c>
      <c r="C119" s="12">
        <v>436.35374999999999</v>
      </c>
    </row>
    <row r="120" spans="1:3" x14ac:dyDescent="0.25">
      <c r="A120" s="10">
        <v>45763</v>
      </c>
      <c r="B120" s="11" t="s">
        <v>118</v>
      </c>
      <c r="C120" s="12">
        <v>-675.31</v>
      </c>
    </row>
    <row r="121" spans="1:3" x14ac:dyDescent="0.25">
      <c r="A121" s="10">
        <v>45768</v>
      </c>
      <c r="B121" s="11" t="s">
        <v>119</v>
      </c>
      <c r="C121" s="12">
        <v>34.35</v>
      </c>
    </row>
    <row r="122" spans="1:3" x14ac:dyDescent="0.25">
      <c r="A122" s="10">
        <v>45768</v>
      </c>
      <c r="B122" s="11" t="s">
        <v>119</v>
      </c>
      <c r="C122" s="12">
        <v>34.35</v>
      </c>
    </row>
    <row r="123" spans="1:3" x14ac:dyDescent="0.25">
      <c r="A123" s="10">
        <v>45775</v>
      </c>
      <c r="B123" s="11" t="s">
        <v>108</v>
      </c>
      <c r="C123" s="12">
        <v>816.52</v>
      </c>
    </row>
    <row r="124" spans="1:3" x14ac:dyDescent="0.25">
      <c r="A124" s="10">
        <v>45775</v>
      </c>
      <c r="B124" s="11" t="s">
        <v>108</v>
      </c>
      <c r="C124" s="12">
        <v>308.26</v>
      </c>
    </row>
    <row r="125" spans="1:3" x14ac:dyDescent="0.25">
      <c r="A125" s="10">
        <v>45776</v>
      </c>
      <c r="B125" s="11" t="s">
        <v>108</v>
      </c>
      <c r="C125" s="12">
        <v>3907.82</v>
      </c>
    </row>
    <row r="126" spans="1:3" x14ac:dyDescent="0.25">
      <c r="A126" s="10">
        <v>45778</v>
      </c>
      <c r="B126" s="11" t="s">
        <v>119</v>
      </c>
      <c r="C126" s="12">
        <v>34.35</v>
      </c>
    </row>
    <row r="127" spans="1:3" x14ac:dyDescent="0.25">
      <c r="A127" s="10">
        <v>45826</v>
      </c>
      <c r="B127" s="11" t="s">
        <v>120</v>
      </c>
      <c r="C127" s="12">
        <v>-70.387500000000003</v>
      </c>
    </row>
    <row r="128" spans="1:3" x14ac:dyDescent="0.25">
      <c r="A128" s="10">
        <v>45841</v>
      </c>
      <c r="B128" s="11" t="s">
        <v>84</v>
      </c>
      <c r="C128" s="12">
        <v>10.626154</v>
      </c>
    </row>
    <row r="129" spans="1:3" x14ac:dyDescent="0.25">
      <c r="A129" s="10">
        <v>45848</v>
      </c>
      <c r="B129" s="11" t="s">
        <v>121</v>
      </c>
      <c r="C129" s="12">
        <v>757.44651318000001</v>
      </c>
    </row>
    <row r="130" spans="1:3" x14ac:dyDescent="0.25">
      <c r="A130" s="10">
        <v>45848</v>
      </c>
      <c r="B130" s="11" t="s">
        <v>84</v>
      </c>
      <c r="C130" s="12">
        <v>-119.046098</v>
      </c>
    </row>
    <row r="131" spans="1:3" x14ac:dyDescent="0.25">
      <c r="A131" s="10">
        <v>45849</v>
      </c>
      <c r="B131" s="11" t="s">
        <v>84</v>
      </c>
      <c r="C131" s="12">
        <v>3.7307049999999999</v>
      </c>
    </row>
    <row r="132" spans="1:3" x14ac:dyDescent="0.25">
      <c r="A132" s="10">
        <v>45872</v>
      </c>
      <c r="B132" s="11" t="s">
        <v>122</v>
      </c>
      <c r="C132" s="12">
        <v>767.23500000000001</v>
      </c>
    </row>
    <row r="133" spans="1:3" x14ac:dyDescent="0.25">
      <c r="A133" s="10">
        <v>45872</v>
      </c>
      <c r="B133" s="11" t="s">
        <v>122</v>
      </c>
      <c r="C133" s="12">
        <v>1617.81</v>
      </c>
    </row>
    <row r="134" spans="1:3" x14ac:dyDescent="0.25">
      <c r="A134" s="10">
        <v>45873</v>
      </c>
      <c r="B134" s="11" t="s">
        <v>123</v>
      </c>
      <c r="C134" s="12">
        <v>1801.665</v>
      </c>
    </row>
    <row r="135" spans="1:3" x14ac:dyDescent="0.25">
      <c r="A135" s="10">
        <v>45895</v>
      </c>
      <c r="B135" s="11" t="s">
        <v>122</v>
      </c>
      <c r="C135" s="12">
        <v>3985.68</v>
      </c>
    </row>
    <row r="136" spans="1:3" x14ac:dyDescent="0.25">
      <c r="A136" s="10">
        <v>45895</v>
      </c>
      <c r="B136" s="11" t="s">
        <v>122</v>
      </c>
      <c r="C136" s="12">
        <v>1301.625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B428-D055-4B8D-B316-421AAABC446F}">
  <dimension ref="A1:G2"/>
  <sheetViews>
    <sheetView workbookViewId="0">
      <selection activeCell="E3" sqref="E3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137</v>
      </c>
      <c r="C1" t="s">
        <v>138</v>
      </c>
      <c r="D1" t="s">
        <v>139</v>
      </c>
      <c r="E1" t="s">
        <v>2</v>
      </c>
      <c r="F1" t="s">
        <v>140</v>
      </c>
      <c r="G1" t="s">
        <v>141</v>
      </c>
    </row>
    <row r="2" spans="1:7" x14ac:dyDescent="0.25">
      <c r="A2" s="4">
        <v>45616</v>
      </c>
      <c r="B2">
        <f>_xlfn.XLOOKUP(EOMONTH(A2,-1)+1,'Fund Management'!A:A,'Fund Management'!H:H)</f>
        <v>23835.686477619274</v>
      </c>
      <c r="C2">
        <f>_xlfn.XLOOKUP(EOMONTH(A2,-1)+1,'Fund Management'!A:A,'Fund Management'!O:O)</f>
        <v>21171.214608401518</v>
      </c>
      <c r="D2">
        <f>_xlfn.XLOOKUP(A2,'Unrealized PnL'!A:A,'Unrealized PnL'!E:E)</f>
        <v>8300</v>
      </c>
      <c r="E2">
        <f>_xlfn.XLOOKUP(EOMONTH(A2,-1)+1,'Fund Management'!A:A,'Fund Management'!P:P)</f>
        <v>168.89757183461944</v>
      </c>
      <c r="F2">
        <f>(B2+D2)/E2</f>
        <v>190.26730892902231</v>
      </c>
      <c r="G2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E3" sqref="E3"/>
    </sheetView>
  </sheetViews>
  <sheetFormatPr defaultRowHeight="15" x14ac:dyDescent="0.25"/>
  <cols>
    <col min="2" max="3" width="9.140625" style="53"/>
  </cols>
  <sheetData>
    <row r="1" spans="1:5" x14ac:dyDescent="0.25">
      <c r="A1" t="s">
        <v>0</v>
      </c>
      <c r="B1" s="53" t="s">
        <v>59</v>
      </c>
      <c r="C1" s="53" t="s">
        <v>135</v>
      </c>
      <c r="D1" t="s">
        <v>124</v>
      </c>
      <c r="E1" t="s">
        <v>136</v>
      </c>
    </row>
    <row r="2" spans="1:5" x14ac:dyDescent="0.25">
      <c r="A2" s="4">
        <v>45616</v>
      </c>
      <c r="E2">
        <v>8300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E3" sqref="E3"/>
    </sheetView>
  </sheetViews>
  <sheetFormatPr defaultRowHeight="15" x14ac:dyDescent="0.25"/>
  <sheetData>
    <row r="1" spans="1:1" x14ac:dyDescent="0.25">
      <c r="A1" t="s">
        <v>132</v>
      </c>
    </row>
    <row r="2" spans="1:1" x14ac:dyDescent="0.25">
      <c r="A2" t="s">
        <v>117</v>
      </c>
    </row>
    <row r="3" spans="1:1" x14ac:dyDescent="0.25">
      <c r="A3" t="s">
        <v>127</v>
      </c>
    </row>
    <row r="4" spans="1:1" x14ac:dyDescent="0.25">
      <c r="A4" t="s">
        <v>130</v>
      </c>
    </row>
    <row r="5" spans="1:1" x14ac:dyDescent="0.25">
      <c r="A5" t="s">
        <v>131</v>
      </c>
    </row>
    <row r="6" spans="1:1" x14ac:dyDescent="0.25">
      <c r="A6" t="s">
        <v>128</v>
      </c>
    </row>
    <row r="7" spans="1:1" x14ac:dyDescent="0.25">
      <c r="A7" t="s">
        <v>129</v>
      </c>
    </row>
    <row r="8" spans="1:1" x14ac:dyDescent="0.25">
      <c r="A8" t="s">
        <v>126</v>
      </c>
    </row>
    <row r="9" spans="1:1" x14ac:dyDescent="0.25">
      <c r="A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Investor dashboard</vt:lpstr>
      <vt:lpstr>Fund Management</vt:lpstr>
      <vt:lpstr>Client Management</vt:lpstr>
      <vt:lpstr>Transactions</vt:lpstr>
      <vt:lpstr>NAV Calculation</vt:lpstr>
      <vt:lpstr>Unrealized PnL</vt:lpstr>
      <vt:lpstr>lkp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Collard</dc:creator>
  <cp:lastModifiedBy>William Collard</cp:lastModifiedBy>
  <dcterms:created xsi:type="dcterms:W3CDTF">2025-11-09T14:34:30Z</dcterms:created>
  <dcterms:modified xsi:type="dcterms:W3CDTF">2025-11-20T21:35:39Z</dcterms:modified>
</cp:coreProperties>
</file>